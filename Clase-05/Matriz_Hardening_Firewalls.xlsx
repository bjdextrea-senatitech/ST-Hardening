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vmlDrawing2.vml" ContentType="application/vnd.openxmlformats-officedocument.vmlDrawing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Resumen" sheetId="2" state="visible" r:id="rId4"/>
    <sheet name="Matriz comparativa" sheetId="3" state="visible" r:id="rId5"/>
    <sheet name="pfSense" sheetId="4" state="visible" r:id="rId6"/>
    <sheet name="Palo Alto" sheetId="5" state="visible" r:id="rId7"/>
    <sheet name="FortiGate" sheetId="6" state="visible" r:id="rId8"/>
    <sheet name="Check Point" sheetId="7" state="visible" r:id="rId9"/>
    <sheet name="Revisión de reglas" sheetId="8" state="visible" r:id="rId10"/>
    <sheet name="Herramientas y benchmarks" sheetId="9" state="visible" r:id="rId11"/>
  </sheets>
  <definedNames>
    <definedName function="false" hidden="true" localSheetId="6" name="_xlnm._FilterDatabase" vbProcedure="false">'Check Point'!$A$11:$I$44</definedName>
    <definedName function="false" hidden="true" localSheetId="5" name="_xlnm._FilterDatabase" vbProcedure="false">FortiGate!$A$11:$I$44</definedName>
    <definedName function="false" hidden="true" localSheetId="2" name="_xlnm._FilterDatabase" vbProcedure="false">'Matriz comparativa'!$A$4:$I$37</definedName>
    <definedName function="false" hidden="true" localSheetId="4" name="_xlnm._FilterDatabase" vbProcedure="false">'Palo Alto'!$A$11:$I$44</definedName>
    <definedName function="false" hidden="true" localSheetId="3" name="_xlnm._FilterDatabase" vbProcedure="false">pfSense!$A$11:$I$44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(Cumple + 0,5 × Parcial) / (Total − N.A.). Criterio del curso: Parcial vale medio punto.</t>
        </r>
      </text>
    </comment>
    <comment ref="I12" authorId="0">
      <text>
        <r>
          <rPr>
            <sz val="10"/>
            <rFont val="Arial"/>
            <family val="2"/>
          </rPr>
          <t xml:space="preserve">Fila de ejemplo: reemplázala con tu propia evidencia.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(Cumple + 0,5 × Parcial) / (Total − N.A.). Criterio del curso: Parcial vale medio punto.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(Cumple + 0,5 × Parcial) / (Total − N.A.). Criterio del curso: Parcial vale medio punto.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(Cumple + 0,5 × Parcial) / (Total − N.A.). Criterio del curso: Parcial vale medio punto.</t>
        </r>
      </text>
    </comment>
  </commentList>
</comments>
</file>

<file path=xl/sharedStrings.xml><?xml version="1.0" encoding="utf-8"?>
<sst xmlns="http://schemas.openxmlformats.org/spreadsheetml/2006/main" count="1393" uniqueCount="506">
  <si>
    <t xml:space="preserve">Matriz de hardening de firewalls: pfSense · Palo Alto · FortiGate · Check Point</t>
  </si>
  <si>
    <t xml:space="preserve">SENATI · Módulo 04 Aseguramiento de los Sistemas · Clase 5 · Material de apoyo</t>
  </si>
  <si>
    <t xml:space="preserve">Objetivo</t>
  </si>
  <si>
    <t xml:space="preserve">Comparar cómo se verifica el mismo control de seguridad en cuatro plataformas de firewall, y practicar una auditoría con checklist, como en el laboratorio de pfSense.</t>
  </si>
  <si>
    <t xml:space="preserve">Metodología (4 frentes)</t>
  </si>
  <si>
    <t xml:space="preserve">1) Plano de gestión contra un benchmark (configuración exportada, sin tocar el equipo).
2) Herramienta nativa del fabricante (BPA, Security Rating, Compliance Blade).
3) Revisión de la base de reglas (any-any, sombreadas, sin uso, sin log, sin dueño).
4) Exposición y parches + vista desde afuera (PSIRT, CISA KEV, escaneo externo, logs en el SIEM).</t>
  </si>
  <si>
    <t xml:space="preserve">Hojas</t>
  </si>
  <si>
    <t xml:space="preserve">Matriz comparativa: los 33 controles lado a lado.
pfSense / Palo Alto / FortiGate / Check Point: checklist por fabricante con cálculo de cumplimiento.
Revisión de reglas: qué buscar en la política.
Herramientas y benchmarks: qué usar para cada fabricante.
Resumen: % de cumplimiento de las cuatro hojas y gráfico.</t>
  </si>
  <si>
    <t xml:space="preserve">Cómo llenar</t>
  </si>
  <si>
    <t xml:space="preserve">En cada hoja de fabricante, completa solo las celdas amarillas: Estado (lista desplegable) y Evidencia. El resumen de la parte superior y la hoja Resumen se calculan solos.
La primera fila de la hoja pfSense trae un ejemplo de cómo registrar la evidencia.</t>
  </si>
  <si>
    <t xml:space="preserve">Estados</t>
  </si>
  <si>
    <t xml:space="preserve">Cumple · Parcial · No cumple · N.A. (no aplica; justificar en Evidencia) · vacío = pendiente.</t>
  </si>
  <si>
    <t xml:space="preserve">Fórmula de cumplimiento</t>
  </si>
  <si>
    <t xml:space="preserve">% = (Cumple + 0,5 × Parcial) / (Total − N.A.). Los controles 'Obligatorio' en No cumple se cuentan aparte: son los primeros a corregir.</t>
  </si>
  <si>
    <t xml:space="preserve">Advertencia</t>
  </si>
  <si>
    <t xml:space="preserve">Las rutas de menú y comandos son de referencia y cambian entre versiones (PAN-OS 10/11, FortiOS 7.0/7.2/7.4/7.6, Check Point R81/R82). Verifícalos en la documentación de la versión auditada. Nunca ejecutes cambios en producción sin ventana aprobada: la auditoría es de solo lectura.</t>
  </si>
  <si>
    <t xml:space="preserve">Sobre los benchmarks</t>
  </si>
  <si>
    <t xml:space="preserve">Los textos de esta matriz son redacción propia del curso: no reproducen las recomendaciones de los CIS Benchmarks. Para el texto oficial y su numeración, descarga el benchmark en cisecurity.org (gratuito en PDF para uso no comercial).</t>
  </si>
  <si>
    <t xml:space="preserve">Fuentes</t>
  </si>
  <si>
    <t xml:space="preserve">CIS Benchmarks Palo Alto Networks: https://www.cisecurity.org/benchmark/palo_alto_networks
CIS Benchmarks Fortinet: https://www.cisecurity.org/benchmark/fortinet
CIS Benchmarks Update octubre 2025 (archivo de Check Point): https://www.cisecurity.org/insights/blog/cis-benchmarks-monthly-update-october-2025
Palo Alto On-Demand BPA: https://docs.paloaltonetworks.com/strata-cloud-manager/aiops/best-practices-in-ngfw/on-demand-bpa-report
Fortinet Security Rating (FortiOS 7.4): https://docs.fortinet.com/document/fortigate/7.4.0/best-practices/218775/security-rating
Check Point Compliance (R82): https://sc1.checkpoint.com/documents/R82/WebAdminGuides/EN/CP_R82_SecurityManagement_AdminGuide/Content/Topics-SECMG/Compliance.htm
CISA KEV: https://www.cisa.gov/known-exploited-vulnerabilities-catalog
NIST SP 800-41 Rev. 1 · Lineamiento BB-LIN-SEG-04 Firewall (BurgerBank).</t>
  </si>
  <si>
    <t xml:space="preserve">Versión</t>
  </si>
  <si>
    <t xml:space="preserve">Octubre 2026 · elaborado para la Clase 5 (Firewalls: del host al perímetro).</t>
  </si>
  <si>
    <t xml:space="preserve">Resumen de cumplimiento por plataforma</t>
  </si>
  <si>
    <t xml:space="preserve">Se calcula solo a partir de las hojas de cada fabricante.</t>
  </si>
  <si>
    <t xml:space="preserve">Plataforma</t>
  </si>
  <si>
    <t xml:space="preserve">Equipo / versión</t>
  </si>
  <si>
    <t xml:space="preserve">Total</t>
  </si>
  <si>
    <t xml:space="preserve">Cumple</t>
  </si>
  <si>
    <t xml:space="preserve">Parcial</t>
  </si>
  <si>
    <t xml:space="preserve">No cumple</t>
  </si>
  <si>
    <t xml:space="preserve">N.A.</t>
  </si>
  <si>
    <t xml:space="preserve">Pendientes</t>
  </si>
  <si>
    <t xml:space="preserve">% cumplimiento</t>
  </si>
  <si>
    <t xml:space="preserve">Obligatorios en No cumple</t>
  </si>
  <si>
    <t xml:space="preserve">pfSense</t>
  </si>
  <si>
    <t xml:space="preserve">Palo Alto</t>
  </si>
  <si>
    <t xml:space="preserve">FortiGate</t>
  </si>
  <si>
    <t xml:space="preserve">Check Point</t>
  </si>
  <si>
    <t xml:space="preserve">Nota: en verde, valores traídos de otras hojas. La única fila con datos de ejemplo es la primera de pfSense.</t>
  </si>
  <si>
    <t xml:space="preserve">Matriz comparativa: el mismo control en cuatro firewalls</t>
  </si>
  <si>
    <t xml:space="preserve">Dónde se verifica cada control. Las referencias B2.x / B3.x son secciones del laboratorio de la Clase 5.</t>
  </si>
  <si>
    <t xml:space="preserve">ID</t>
  </si>
  <si>
    <t xml:space="preserve">Dominio</t>
  </si>
  <si>
    <t xml:space="preserve">Control</t>
  </si>
  <si>
    <t xml:space="preserve">Riesgo si falla</t>
  </si>
  <si>
    <t xml:space="preserve">Nivel</t>
  </si>
  <si>
    <t xml:space="preserve">pfSense (laboratorio)</t>
  </si>
  <si>
    <t xml:space="preserve">Palo Alto (PAN-OS)</t>
  </si>
  <si>
    <t xml:space="preserve">FortiGate (FortiOS)</t>
  </si>
  <si>
    <t xml:space="preserve">Check Point (Gaia / SmartConsole)</t>
  </si>
  <si>
    <t xml:space="preserve">GES-01</t>
  </si>
  <si>
    <t xml:space="preserve">Gestión</t>
  </si>
  <si>
    <t xml:space="preserve">La administración (GUI/SSH/API) solo es accesible desde la red o los hosts de gestión, nunca desde la WAN.</t>
  </si>
  <si>
    <t xml:space="preserve">Es la puerta de entrada de los incidentes de 2024–2025 (Ivanti, FortiOS, PAN-OS): interfaz de administración expuesta.</t>
  </si>
  <si>
    <t xml:space="preserve">Obligatorio</t>
  </si>
  <si>
    <t xml:space="preserve">Regla LAN `GUI solo desde el PC admin` + anti-lockout deshabilitada (B2.3); sin regla de GUI en la WAN (B3.2).</t>
  </si>
  <si>
    <t xml:space="preserve">Device › Setup › Interfaces › Management › Permitted IP Addresses; Network › Network Profiles › Interface Mgmt (sin HTTPS/SSH en zonas externas).</t>
  </si>
  <si>
    <t xml:space="preserve">System › Administrators › Trusted Hosts; Network › Interfaces › Administrative Access (WAN sin HTTPS/SSH).</t>
  </si>
  <si>
    <t xml:space="preserve">Gaia Portal › System Management › Host Access (Allowed Clients); en SmartConsole, stealth rule que proteja gateway y servidor de gestión.</t>
  </si>
  <si>
    <t xml:space="preserve">GES-02</t>
  </si>
  <si>
    <t xml:space="preserve">Protocolos de administración sin cifrar deshabilitados (HTTP, Telnet).</t>
  </si>
  <si>
    <t xml:space="preserve">Credenciales de administrador viajan en claro y pueden ser capturadas.</t>
  </si>
  <si>
    <t xml:space="preserve">System › Advanced › Admin Access: protocolo HTTPS; SSH deshabilitado o solo con llave (B2.5).</t>
  </si>
  <si>
    <t xml:space="preserve">Device › Setup › Management › Management Interface Settings: desmarcar HTTP y Telnet; revisar también los Interface Mgmt profiles.</t>
  </si>
  <si>
    <t xml:space="preserve">Network › Interfaces › Administrative Access: sin HTTP ni TELNET en ninguna interfaz.</t>
  </si>
  <si>
    <t xml:space="preserve">Gaia Portal › System Management › Network Access: Telnet deshabilitado.</t>
  </si>
  <si>
    <t xml:space="preserve">GES-03</t>
  </si>
  <si>
    <t xml:space="preserve">Gestión cifrada con TLS 1.2 o superior y certificado emitido por una CA de confianza (no el autofirmado de fábrica).</t>
  </si>
  <si>
    <t xml:space="preserve">Un certificado autofirmado acostumbra a los administradores a aceptar avisos, facilitando un ataque de intermediario.</t>
  </si>
  <si>
    <t xml:space="preserve">Recomendado</t>
  </si>
  <si>
    <t xml:space="preserve">System › Cert Manager + Admin Access › SSL/TLS Certificate (B2.2).</t>
  </si>
  <si>
    <t xml:space="preserve">Device › Certificate Management › SSL/TLS Service Profile (versión mínima TLSv1.2) asignado en Device › Setup › Management.</t>
  </si>
  <si>
    <t xml:space="preserve">System › Settings / CLI: cifrado fuerte y versiones TLS de la GUI; certificado de administración propio.</t>
  </si>
  <si>
    <t xml:space="preserve">Gaia Portal: reemplazar el certificado autofirmado del portal web; SmartConsole/gestión con certificados internos (ICA).</t>
  </si>
  <si>
    <t xml:space="preserve">GES-04</t>
  </si>
  <si>
    <t xml:space="preserve">Cierre de sesión por inactividad de la administración (≤ 15 minutos).</t>
  </si>
  <si>
    <t xml:space="preserve">Una sesión abierta en un equipo desatendido permite cambios sin autenticarse.</t>
  </si>
  <si>
    <t xml:space="preserve">System › User Manager › Settings › Session timeout = 15 (B2.4).</t>
  </si>
  <si>
    <t xml:space="preserve">Device › Setup › Management › Authentication Settings › Idle Timeout.</t>
  </si>
  <si>
    <t xml:space="preserve">System › Settings › Idle timeout.</t>
  </si>
  <si>
    <t xml:space="preserve">Gaia Portal › User Management › Session; también el timeout de SmartConsole.</t>
  </si>
  <si>
    <t xml:space="preserve">GES-05</t>
  </si>
  <si>
    <t xml:space="preserve">Banner de aviso legal antes del inicio de sesión.</t>
  </si>
  <si>
    <t xml:space="preserve">Sin aviso de uso autorizado se debilita la base legal ante un acceso indebido.</t>
  </si>
  <si>
    <t xml:space="preserve">Sin opción nativa en la GUI: documentar como N.A. o excepción.</t>
  </si>
  <si>
    <t xml:space="preserve">Device › Setup › Management › General Settings › Login Banner.</t>
  </si>
  <si>
    <t xml:space="preserve">System › Replacement Messages + pre-login-banner habilitado.</t>
  </si>
  <si>
    <t xml:space="preserve">Gaia Portal › System Management › Messages (banner).</t>
  </si>
  <si>
    <t xml:space="preserve">AUT-01</t>
  </si>
  <si>
    <t xml:space="preserve">Autenticación</t>
  </si>
  <si>
    <t xml:space="preserve">Cuentas nominales para el día a día; la cuenta de fábrica (admin) solo como emergencia y con clave cambiada y custodiada.</t>
  </si>
  <si>
    <t xml:space="preserve">Cuentas compartidas impiden saber quién hizo cada cambio; la clave de fábrica es la primera que prueba un atacante.</t>
  </si>
  <si>
    <t xml:space="preserve">System › User Manager (B2.1).</t>
  </si>
  <si>
    <t xml:space="preserve">Device › Administrators: una cuenta por persona; admin con clave cambiada.</t>
  </si>
  <si>
    <t xml:space="preserve">System › Administrators.</t>
  </si>
  <si>
    <t xml:space="preserve">Gaia Portal › User Management › Users; SmartConsole › Manage &amp; Settings › Permissions &amp; Administrators.</t>
  </si>
  <si>
    <t xml:space="preserve">AUT-02</t>
  </si>
  <si>
    <t xml:space="preserve">Política de contraseñas: longitud mínima, complejidad y no reutilización según la política de la empresa.</t>
  </si>
  <si>
    <t xml:space="preserve">Claves débiles se adivinan por fuerza bruta o diccionario.</t>
  </si>
  <si>
    <t xml:space="preserve">Sin política de complejidad nativa: aplicar por procedimiento o con autenticación centralizada.</t>
  </si>
  <si>
    <t xml:space="preserve">Device › Setup › Management › Minimum Password Complexity.</t>
  </si>
  <si>
    <t xml:space="preserve">System › Settings › Password Policy.</t>
  </si>
  <si>
    <t xml:space="preserve">Gaia Portal › User Management › Password Policy.</t>
  </si>
  <si>
    <t xml:space="preserve">AUT-03</t>
  </si>
  <si>
    <t xml:space="preserve">Bloqueo temporal tras varios intentos fallidos de inicio de sesión.</t>
  </si>
  <si>
    <t xml:space="preserve">Sin bloqueo, la fuerza bruta contra la gestión no tiene límite.</t>
  </si>
  <si>
    <t xml:space="preserve">System › Advanced › Admin Access › Login Protection (B2.4).</t>
  </si>
  <si>
    <t xml:space="preserve">Device › Authentication Profile › Failed Attempts / Lockout Time (perfil usado por los administradores).</t>
  </si>
  <si>
    <t xml:space="preserve">System › Settings: umbral y duración de bloqueo de administradores.</t>
  </si>
  <si>
    <t xml:space="preserve">Gaia Portal › User Management › Password Policy (bloqueo por intentos fallidos).</t>
  </si>
  <si>
    <t xml:space="preserve">AUT-04</t>
  </si>
  <si>
    <t xml:space="preserve">MFA y autenticación centralizada (RADIUS, TACACS+ o SAML) para administradores.</t>
  </si>
  <si>
    <t xml:space="preserve">Una clave robada basta para tomar el firewall.</t>
  </si>
  <si>
    <t xml:space="preserve">System › User Manager › Authentication Servers (RADIUS/LDAP). Fuera del alcance del laboratorio.</t>
  </si>
  <si>
    <t xml:space="preserve">Device › Authentication Profile (SAML/RADIUS con MFA) asignado a los administradores.</t>
  </si>
  <si>
    <t xml:space="preserve">System › Administrators: Two-factor (FortiToken) o servidor remoto RADIUS/TACACS+.</t>
  </si>
  <si>
    <t xml:space="preserve">SmartConsole › Permissions &amp; Administrators: método de autenticación RADIUS/TACACS+; Gaia Portal › User Management › Authentication Servers.</t>
  </si>
  <si>
    <t xml:space="preserve">AUT-05</t>
  </si>
  <si>
    <t xml:space="preserve">Mínimo privilegio: perfiles de solo lectura para quien no necesita cambiar la configuración.</t>
  </si>
  <si>
    <t xml:space="preserve">Todos con superusuario multiplica el impacto de una cuenta comprometida.</t>
  </si>
  <si>
    <t xml:space="preserve">System › User Manager › Groups / privilegios por página.</t>
  </si>
  <si>
    <t xml:space="preserve">Device › Admin Roles.</t>
  </si>
  <si>
    <t xml:space="preserve">System › Admin Profiles.</t>
  </si>
  <si>
    <t xml:space="preserve">SmartConsole › Permission Profiles; Gaia roles (RBA).</t>
  </si>
  <si>
    <t xml:space="preserve">SRV-01</t>
  </si>
  <si>
    <t xml:space="preserve">Servicios</t>
  </si>
  <si>
    <t xml:space="preserve">Solo los servicios necesarios activos en el equipo (sin UPnP, servicios de prueba, portales sin uso).</t>
  </si>
  <si>
    <t xml:space="preserve">Cada servicio extra es superficie de ataque y fuente de vulnerabilidades.</t>
  </si>
  <si>
    <t xml:space="preserve">Services › UPnP deshabilitado; paquetes no usados desinstalados (B2.6, B2.8).</t>
  </si>
  <si>
    <t xml:space="preserve">Revisar Interface Mgmt profiles, GlobalProtect portal, servicios de User-ID expuestos.</t>
  </si>
  <si>
    <t xml:space="preserve">Revisar allowaccess por interfaz y funciones habilitadas (System › Feature Visibility).</t>
  </si>
  <si>
    <t xml:space="preserve">Revisar blades activos y servicios de Gaia.</t>
  </si>
  <si>
    <t xml:space="preserve">SRV-02</t>
  </si>
  <si>
    <t xml:space="preserve">SNMP deshabilitado o en v3 (sin comunidad 'public'/'private'), restringido a la IP del sistema de monitoreo.</t>
  </si>
  <si>
    <t xml:space="preserve">SNMP con comunidad por defecto revela interfaces, rutas y a veces permite cambios.</t>
  </si>
  <si>
    <t xml:space="preserve">Services › SNMP deshabilitado (B2.6).</t>
  </si>
  <si>
    <t xml:space="preserve">Device › Setup › Operations › SNMP Setup (versión v3).</t>
  </si>
  <si>
    <t xml:space="preserve">System › SNMP: sin comunidades v1/v2c por defecto; usuarios v3 con hosts restringidos.</t>
  </si>
  <si>
    <t xml:space="preserve">Gaia Portal › System Management › SNMP (v3-only).</t>
  </si>
  <si>
    <t xml:space="preserve">SRV-03</t>
  </si>
  <si>
    <t xml:space="preserve">Hora sincronizada con servidores NTP confiables.</t>
  </si>
  <si>
    <t xml:space="preserve">Sin hora correcta los logs no sirven como evidencia ni se pueden correlacionar.</t>
  </si>
  <si>
    <t xml:space="preserve">System › General Setup › Time servers (B2.8).</t>
  </si>
  <si>
    <t xml:space="preserve">Device › Setup › Services › NTP.</t>
  </si>
  <si>
    <t xml:space="preserve">System › Settings › System Time (NTP).</t>
  </si>
  <si>
    <t xml:space="preserve">Gaia Portal › System Management › Time.</t>
  </si>
  <si>
    <t xml:space="preserve">SRV-04</t>
  </si>
  <si>
    <t xml:space="preserve">DNS del equipo hacia servidores confiables; el resolvedor no responde en la WAN.</t>
  </si>
  <si>
    <t xml:space="preserve">Un resolvedor abierto se usa para amplificación DDoS y filtra información interna.</t>
  </si>
  <si>
    <t xml:space="preserve">Services › DNS Resolver › Network Interfaces: LAN, DMZ, Localhost (B2.6).</t>
  </si>
  <si>
    <t xml:space="preserve">Device › Setup › Services (DNS); DNS Proxy solo en interfaces internas.</t>
  </si>
  <si>
    <t xml:space="preserve">Network › DNS / DNS Servers solo en interfaces internas.</t>
  </si>
  <si>
    <t xml:space="preserve">Gaia Portal › Network Management › Hosts and DNS.</t>
  </si>
  <si>
    <t xml:space="preserve">LOG-01</t>
  </si>
  <si>
    <t xml:space="preserve">Logs y monitoreo</t>
  </si>
  <si>
    <t xml:space="preserve">Logs enviados a un servidor central o SIEM, fuera del equipo.</t>
  </si>
  <si>
    <t xml:space="preserve">Si el firewall es comprometido, el atacante borra los logs locales.</t>
  </si>
  <si>
    <t xml:space="preserve">Status › System Logs › Settings › Remote Logging (B2.7).</t>
  </si>
  <si>
    <t xml:space="preserve">Device › Server Profiles › Syslog + Objects › Log Forwarding (o Strata Logging Service / Panorama).</t>
  </si>
  <si>
    <t xml:space="preserve">Log &amp; Report › Log Settings (syslog / FortiAnalyzer).</t>
  </si>
  <si>
    <t xml:space="preserve">Logs al Log Server/SmartEvent; Gaia Portal › System Management › System Logging (syslog remoto).</t>
  </si>
  <si>
    <t xml:space="preserve">LOG-02</t>
  </si>
  <si>
    <t xml:space="preserve">Se registra el tráfico denegado por la regla final y el permitido en reglas críticas.</t>
  </si>
  <si>
    <t xml:space="preserve">Sin log de bloqueos no se detectan escaneos ni intentos de movimiento lateral.</t>
  </si>
  <si>
    <t xml:space="preserve">Status › System Logs › Settings › Log packets matched from the default block rules (B2.7); log en reglas Block (B3).</t>
  </si>
  <si>
    <t xml:space="preserve">En cada regla: Actions › Log at Session End; regla final deny con log (las reglas por defecto no registran salvo que se cambie).</t>
  </si>
  <si>
    <t xml:space="preserve">En cada política: Log Allowed Traffic; registro de tráfico denegado implícito habilitado.</t>
  </si>
  <si>
    <t xml:space="preserve">SmartConsole: columna Track = Log en la cleanup rule y reglas críticas.</t>
  </si>
  <si>
    <t xml:space="preserve">LOG-03</t>
  </si>
  <si>
    <t xml:space="preserve">Auditoría de cambios de configuración y de accesos de administradores.</t>
  </si>
  <si>
    <t xml:space="preserve">Sin trazabilidad no se puede investigar un cambio malicioso o un error.</t>
  </si>
  <si>
    <t xml:space="preserve">Status › System Logs › General; Diagnostics › Backup &amp; Restore (historial de configuraciones).</t>
  </si>
  <si>
    <t xml:space="preserve">Monitor › Logs › Configuration y System.</t>
  </si>
  <si>
    <t xml:space="preserve">Log &amp; Report › Events › System Events.</t>
  </si>
  <si>
    <t xml:space="preserve">Logs &amp; Monitor › Audit Logs.</t>
  </si>
  <si>
    <t xml:space="preserve">ACT-01</t>
  </si>
  <si>
    <t xml:space="preserve">Actualizaciones</t>
  </si>
  <si>
    <t xml:space="preserve">Sistema operativo del equipo en versión soportada y parcheada; seguimiento del PSIRT del fabricante y del catálogo KEV de CISA.</t>
  </si>
  <si>
    <t xml:space="preserve">Los ataques más graves a firewalls explotaron vulnerabilidades conocidas en versiones sin parchar.</t>
  </si>
  <si>
    <t xml:space="preserve">System › Update (B2.8).</t>
  </si>
  <si>
    <t xml:space="preserve">Device › Software; comparar con security.paloaltonetworks.com.</t>
  </si>
  <si>
    <t xml:space="preserve">System › Firmware &amp; Registration; comparar con fortiguard.com/psirt.</t>
  </si>
  <si>
    <t xml:space="preserve">Gaia Portal › CPUSE (Jumbo Hotfix); comparar con los avisos de Check Point.</t>
  </si>
  <si>
    <t xml:space="preserve">ACT-02</t>
  </si>
  <si>
    <t xml:space="preserve">Firmas y contenido de seguridad (IPS, antivirus, aplicaciones, URL) actualizados automáticamente.</t>
  </si>
  <si>
    <t xml:space="preserve">Firmas desactualizadas no detectan amenazas recientes.</t>
  </si>
  <si>
    <t xml:space="preserve">Suricata › Updates (B5, opcional).</t>
  </si>
  <si>
    <t xml:space="preserve">Device › Dynamic Updates (programación de Apps/Threats, AV, WildFire).</t>
  </si>
  <si>
    <t xml:space="preserve">System › FortiGuard (actualizaciones programadas).</t>
  </si>
  <si>
    <t xml:space="preserve">SmartConsole › Security Policies › Threat Prevention › Updates.</t>
  </si>
  <si>
    <t xml:space="preserve">REG-01</t>
  </si>
  <si>
    <t xml:space="preserve">Reglas</t>
  </si>
  <si>
    <t xml:space="preserve">Denegación por defecto: regla final explícita que bloquea y registra todo lo no permitido (cleanup rule).</t>
  </si>
  <si>
    <t xml:space="preserve">Sin denegación por defecto, todo lo no previsto queda permitido.</t>
  </si>
  <si>
    <t xml:space="preserve">Regla Block final con log en LAN y DMZ (B3.3, B3.4).</t>
  </si>
  <si>
    <t xml:space="preserve">Policies › Security: regla final deny con log antes de las reglas por defecto.</t>
  </si>
  <si>
    <t xml:space="preserve">Policy &amp; Objects › Firewall Policy: denegación implícita con log habilitado.</t>
  </si>
  <si>
    <t xml:space="preserve">SmartConsole: cleanup rule Any/Any/Drop con Log al final de la capa.</t>
  </si>
  <si>
    <t xml:space="preserve">REG-02</t>
  </si>
  <si>
    <t xml:space="preserve">Stealth rule: nadie inicia conexiones hacia el propio firewall salvo la gestión autorizada.</t>
  </si>
  <si>
    <t xml:space="preserve">Servicios del firewall alcanzables desde redes no confiables.</t>
  </si>
  <si>
    <t xml:space="preserve">Reglas DMZ/LAN sin acceso a 'This Firewall' salvo DNS/NTP y GUI desde ADMIN_PC (B2.3, B3.4).</t>
  </si>
  <si>
    <t xml:space="preserve">Interface Mgmt profiles mínimos + reglas hacia las IP del firewall.</t>
  </si>
  <si>
    <t xml:space="preserve">Policy &amp; Objects › Local In Policy.</t>
  </si>
  <si>
    <t xml:space="preserve">SmartConsole: stealth rule (gateway + servidor de gestión) en las primeras posiciones.</t>
  </si>
  <si>
    <t xml:space="preserve">REG-03</t>
  </si>
  <si>
    <t xml:space="preserve">Sin reglas 'any-any' ni permisos más amplios de lo necesario (origen, destino y servicio específicos).</t>
  </si>
  <si>
    <t xml:space="preserve">Una regla amplia anula el resto de la política.</t>
  </si>
  <si>
    <t xml:space="preserve">Se elimina la regla 'permitir todo' de la DMZ y la Default allow LAN (B3.3, B3.4).</t>
  </si>
  <si>
    <t xml:space="preserve">Policies › Security: filtrar reglas con any en origen, destino y aplicación/servicio; usar App-ID.</t>
  </si>
  <si>
    <t xml:space="preserve">Policy &amp; Objects › Firewall Policy: buscar srcaddr all / dstaddr all / service ALL.</t>
  </si>
  <si>
    <t xml:space="preserve">SmartConsole: buscar reglas Any/Any/Any Accept.</t>
  </si>
  <si>
    <t xml:space="preserve">REG-04</t>
  </si>
  <si>
    <t xml:space="preserve">Reglas sin uso (sin coincidencias en 90 días o más) revisadas y eliminadas.</t>
  </si>
  <si>
    <t xml:space="preserve">Reglas olvidadas dejan accesos abiertos que nadie recuerda.</t>
  </si>
  <si>
    <t xml:space="preserve">Firewall › Rules: columna de estados por regla; Diagnostics › pfInfo.</t>
  </si>
  <si>
    <t xml:space="preserve">Policies › Security › Policy Optimizer / Rule Usage.</t>
  </si>
  <si>
    <t xml:space="preserve">Policy &amp; Objects › Firewall Policy: columnas Hit Count y Last Used.</t>
  </si>
  <si>
    <t xml:space="preserve">SmartConsole: columna Hits del rulebase.</t>
  </si>
  <si>
    <t xml:space="preserve">REG-05</t>
  </si>
  <si>
    <t xml:space="preserve">Cada regla con descripción, dueño o ticket y fecha de revisión.</t>
  </si>
  <si>
    <t xml:space="preserve">Nadie se atreve a borrar una regla cuyo propósito desconoce.</t>
  </si>
  <si>
    <t xml:space="preserve">Campo Description en cada regla (B3).</t>
  </si>
  <si>
    <t xml:space="preserve">Campos Description y Tags en cada regla.</t>
  </si>
  <si>
    <t xml:space="preserve">Campo Comments en cada política.</t>
  </si>
  <si>
    <t xml:space="preserve">Columna Comments / Name y metadatos de la regla.</t>
  </si>
  <si>
    <t xml:space="preserve">REG-06</t>
  </si>
  <si>
    <t xml:space="preserve">Filtrado de salida: servidores y usuarios solo hacia los destinos y puertos necesarios.</t>
  </si>
  <si>
    <t xml:space="preserve">Sin control de salida, malware y atacantes exfiltran datos o abren shells inversas.</t>
  </si>
  <si>
    <t xml:space="preserve">Reglas LAN y DMZ de salida (B3.3, B3.4); prueba P5 de la batería.</t>
  </si>
  <si>
    <t xml:space="preserve">Reglas de salida por App-ID y URL filtering.</t>
  </si>
  <si>
    <t xml:space="preserve">Políticas de salida con servicios específicos y perfiles de seguridad.</t>
  </si>
  <si>
    <t xml:space="preserve">Reglas de salida con Application &amp; URL Filtering.</t>
  </si>
  <si>
    <t xml:space="preserve">REG-07</t>
  </si>
  <si>
    <t xml:space="preserve">Segmentación: la DMZ no inicia conexiones hacia redes internas ni hacia la red de gestión.</t>
  </si>
  <si>
    <t xml:space="preserve">Un servidor comprometido en la DMZ se usa para movimiento lateral.</t>
  </si>
  <si>
    <t xml:space="preserve">Regla DMZ → RED_PRIVADA bloqueada con log (B3.4).</t>
  </si>
  <si>
    <t xml:space="preserve">Zonas separadas y reglas entre zonas (intrazone/interzone).</t>
  </si>
  <si>
    <t xml:space="preserve">Políticas entre interfaces/zonas.</t>
  </si>
  <si>
    <t xml:space="preserve">Reglas entre redes/zonas en la capa de acceso.</t>
  </si>
  <si>
    <t xml:space="preserve">REG-08</t>
  </si>
  <si>
    <t xml:space="preserve">Anti-spoofing: se rechazan en la WAN direcciones privadas, bogons o que no corresponden a la interfaz.</t>
  </si>
  <si>
    <t xml:space="preserve">Tráfico con origen falsificado evade reglas basadas en IP.</t>
  </si>
  <si>
    <t xml:space="preserve">Interfaces › WAN › Block private networks / bogon networks (EXC en el lab, B4.4).</t>
  </si>
  <si>
    <t xml:space="preserve">Network › Network Profiles › Zone Protection › Packet Based Attack Protection (Spoofed IP).</t>
  </si>
  <si>
    <t xml:space="preserve">Verificación de ruta inversa (RPF) activa por defecto: confirmar que asymroute esté deshabilitado.</t>
  </si>
  <si>
    <t xml:space="preserve">Gateway › Network Management › Topología de cada interfaz › Anti-Spoofing.</t>
  </si>
  <si>
    <t xml:space="preserve">REG-09</t>
  </si>
  <si>
    <t xml:space="preserve">Perfiles de prevención de amenazas (IPS, antivirus, filtrado URL) aplicados a las reglas que permiten tráfico de internet.</t>
  </si>
  <si>
    <t xml:space="preserve">Un puerto permitido sin inspección deja pasar exploits y malware.</t>
  </si>
  <si>
    <t xml:space="preserve">Suricata en la WAN (B5, opcional).</t>
  </si>
  <si>
    <t xml:space="preserve">Security Profile Group en las reglas allow.</t>
  </si>
  <si>
    <t xml:space="preserve">Security Profiles (IPS/AV/Web Filter) en las políticas.</t>
  </si>
  <si>
    <t xml:space="preserve">Threat Prevention policy y blades IPS/Anti-Bot/Anti-Virus activos.</t>
  </si>
  <si>
    <t xml:space="preserve">REG-10</t>
  </si>
  <si>
    <t xml:space="preserve">Protección contra inundaciones y DoS en interfaces externas.</t>
  </si>
  <si>
    <t xml:space="preserve">Agotamiento de sesiones del firewall por inundación SYN o escaneos masivos.</t>
  </si>
  <si>
    <t xml:space="preserve">Opciones avanzadas por regla (límite de conexiones por origen; reto en la referencia).</t>
  </si>
  <si>
    <t xml:space="preserve">Zone Protection Profile (Flood Protection) en la zona externa.</t>
  </si>
  <si>
    <t xml:space="preserve">Policy &amp; Objects › DoS Policy en la interfaz WAN.</t>
  </si>
  <si>
    <t xml:space="preserve">IPS protecciones de red y Rate Limiting.</t>
  </si>
  <si>
    <t xml:space="preserve">VPN-01</t>
  </si>
  <si>
    <t xml:space="preserve">VPN</t>
  </si>
  <si>
    <t xml:space="preserve">Acceso remoto VPN con MFA; portales sin uso deshabilitados y versión parcheada.</t>
  </si>
  <si>
    <t xml:space="preserve">Los portales VPN son blanco prioritario (Ivanti, FortiOS, GlobalProtect).</t>
  </si>
  <si>
    <t xml:space="preserve">OpenVPN/IPsec con autenticación fuerte (fuera del laboratorio).</t>
  </si>
  <si>
    <t xml:space="preserve">Network › GlobalProtect: Authentication Profile con MFA.</t>
  </si>
  <si>
    <t xml:space="preserve">VPN › IPsec / SSL-VPN: usuarios con autenticación de dos factores.</t>
  </si>
  <si>
    <t xml:space="preserve">Remote Access / Mobile Access con MFA.</t>
  </si>
  <si>
    <t xml:space="preserve">VPN-02</t>
  </si>
  <si>
    <t xml:space="preserve">Criptografía VPN fuerte (IKEv2, AES-GCM, grupos DH modernos; sin 3DES, MD5 ni SHA-1).</t>
  </si>
  <si>
    <t xml:space="preserve">Algoritmos débiles permiten descifrar o suplantar el túnel.</t>
  </si>
  <si>
    <t xml:space="preserve">VPN › IPsec › Phase 1/2 (fuera del laboratorio).</t>
  </si>
  <si>
    <t xml:space="preserve">Network › Network Profiles › IKE Crypto / IPSec Crypto.</t>
  </si>
  <si>
    <t xml:space="preserve">VPN › IPsec Tunnels: propuestas de Phase 1/2.</t>
  </si>
  <si>
    <t xml:space="preserve">Comunidades VPN › Encryption.</t>
  </si>
  <si>
    <t xml:space="preserve">RES-01</t>
  </si>
  <si>
    <t xml:space="preserve">Respaldo y continuidad</t>
  </si>
  <si>
    <t xml:space="preserve">Respaldo cifrado de la configuración, guardado fuera del equipo, con restauración probada.</t>
  </si>
  <si>
    <t xml:space="preserve">Sin respaldo probado, un fallo o un ransomware deja la red sin firewall.</t>
  </si>
  <si>
    <t xml:space="preserve">Diagnostics › Backup &amp; Restore con cifrado (B2.8).</t>
  </si>
  <si>
    <t xml:space="preserve">Device › Setup › Operations › Export named configuration snapshot; exportación programada desde Panorama.</t>
  </si>
  <si>
    <t xml:space="preserve">System › Configuration › Backup (con cifrado).</t>
  </si>
  <si>
    <t xml:space="preserve">Gaia Portal › Maintenance › Backup / Snapshot Management; respaldo del servidor de gestión.</t>
  </si>
  <si>
    <t xml:space="preserve">RES-02</t>
  </si>
  <si>
    <t xml:space="preserve">Alta disponibilidad configurada y probada, con la configuración sincronizada (si aplica).</t>
  </si>
  <si>
    <t xml:space="preserve">Un único equipo es un punto único de falla.</t>
  </si>
  <si>
    <t xml:space="preserve">System › High Availability (CARP); fuera del laboratorio.</t>
  </si>
  <si>
    <t xml:space="preserve">Device › High Availability.</t>
  </si>
  <si>
    <t xml:space="preserve">System › HA.</t>
  </si>
  <si>
    <t xml:space="preserve">ClusterXL.</t>
  </si>
  <si>
    <t xml:space="preserve">Checklist de hardening · pfSense</t>
  </si>
  <si>
    <t xml:space="preserve">Plataforma de referencia: pfSense CE 2.8.x. Completa las celdas amarillas (Estado y Evidencia).</t>
  </si>
  <si>
    <t xml:space="preserve">Equipo / versión auditada</t>
  </si>
  <si>
    <t xml:space="preserve">fw-senati · pfSense CE 2.8.1 (ejemplo)</t>
  </si>
  <si>
    <t xml:space="preserve">% de cumplimiento</t>
  </si>
  <si>
    <t xml:space="preserve">Total de controles</t>
  </si>
  <si>
    <t xml:space="preserve">Pendientes (sin estado)</t>
  </si>
  <si>
    <t xml:space="preserve">Dónde verificar (GUI)</t>
  </si>
  <si>
    <t xml:space="preserve">CLI / evidencia sugerida</t>
  </si>
  <si>
    <t xml:space="preserve">Resultado esperado</t>
  </si>
  <si>
    <t xml:space="preserve">Estado</t>
  </si>
  <si>
    <t xml:space="preserve">Evidencia / comentario</t>
  </si>
  <si>
    <t xml:space="preserve">Kali: curl -sk https://IP_WAN/ → timeout</t>
  </si>
  <si>
    <t xml:space="preserve">Desde la WAN la gestión no responde (filtered). Solo hosts de gestión autorizados.</t>
  </si>
  <si>
    <t xml:space="preserve">EJEMPLO: captura de la regla LAN 'GUI solo desde el PC admin' + Kali: curl a https://IP_WAN_PF/ da timeout (batería P1: 443 filtered).</t>
  </si>
  <si>
    <t xml:space="preserve">Auditor: ADM-* (auditar-pfsense.py)</t>
  </si>
  <si>
    <t xml:space="preserve">Solo HTTPS y SSH (o solo HTTPS) habilitados para gestión.</t>
  </si>
  <si>
    <t xml:space="preserve">Navegador: ver el certificado de la GUI</t>
  </si>
  <si>
    <t xml:space="preserve">TLS ≥ 1.2, cifrados fuertes y certificado de CA interna.</t>
  </si>
  <si>
    <t xml:space="preserve">Timeout de 10–15 minutos o menos.</t>
  </si>
  <si>
    <t xml:space="preserve">Banner visible en GUI y SSH.</t>
  </si>
  <si>
    <t xml:space="preserve">Auditor: ADM-01 / ADM-02</t>
  </si>
  <si>
    <t xml:space="preserve">Una cuenta por persona; admin con clave larga en bóveda.</t>
  </si>
  <si>
    <t xml:space="preserve">Política configurada en el equipo o en el servidor central de autenticación.</t>
  </si>
  <si>
    <t xml:space="preserve">Bloqueo tras 3–10 intentos durante un tiempo definido.</t>
  </si>
  <si>
    <t xml:space="preserve">Administradores autentican contra IdP/RADIUS con segundo factor.</t>
  </si>
  <si>
    <t xml:space="preserve">Roles diferenciados (lectura, operador, superusuario).</t>
  </si>
  <si>
    <t xml:space="preserve">Auditor: SRV-*</t>
  </si>
  <si>
    <t xml:space="preserve">Inventario de servicios justificado; lo demás deshabilitado.</t>
  </si>
  <si>
    <t xml:space="preserve">Desde la DMZ: nmap -sU -p161 --script snmp-info</t>
  </si>
  <si>
    <t xml:space="preserve">SNMPv3 con autenticación y cifrado, o SNMP apagado.</t>
  </si>
  <si>
    <t xml:space="preserve">Al menos 2 servidores NTP; estado sincronizado.</t>
  </si>
  <si>
    <t xml:space="preserve">Kali: nmap -sU -p53 IP_WAN</t>
  </si>
  <si>
    <t xml:space="preserve">Resolvedor solo en interfaces internas.</t>
  </si>
  <si>
    <t xml:space="preserve">Ubuntu: sudo tail -f /var/log/pfsense.log</t>
  </si>
  <si>
    <t xml:space="preserve">Syslog/colector central recibiendo eventos de sistema y tráfico.</t>
  </si>
  <si>
    <t xml:space="preserve">Regla de limpieza con log; reglas de servicios publicados con log.</t>
  </si>
  <si>
    <t xml:space="preserve">Registro de quién cambió qué y cuándo, enviado al SIEM.</t>
  </si>
  <si>
    <t xml:space="preserve">Versión soportada sin vulnerabilidades críticas pendientes; evidencia del último parche.</t>
  </si>
  <si>
    <t xml:space="preserve">Actualización programada y última descarga reciente.</t>
  </si>
  <si>
    <t xml:space="preserve">Última regla: any → any → deny con log.</t>
  </si>
  <si>
    <t xml:space="preserve">Desde la DMZ: curl -sk https://172.16.20.1/ → timeout</t>
  </si>
  <si>
    <t xml:space="preserve">Tráfico hacia el firewall bloqueado salvo desde gestión.</t>
  </si>
  <si>
    <t xml:space="preserve">Ninguna regla con origen, destino y servicio 'any' a la vez.</t>
  </si>
  <si>
    <t xml:space="preserve">Informe de hit count revisado en cada ciclo.</t>
  </si>
  <si>
    <t xml:space="preserve">Auditor: REG-*</t>
  </si>
  <si>
    <t xml:space="preserve">100 % de reglas con descripción y responsable.</t>
  </si>
  <si>
    <t xml:space="preserve">pruebas-firewall.sh → P5</t>
  </si>
  <si>
    <t xml:space="preserve">Salida limitada a DNS, actualizaciones y servicios justificados.</t>
  </si>
  <si>
    <t xml:space="preserve">Ubuntu (DMZ): nmap 192.168.56.0/24 → filtered</t>
  </si>
  <si>
    <t xml:space="preserve">DMZ → redes internas bloqueado y registrado.</t>
  </si>
  <si>
    <t xml:space="preserve">Protección anti-spoofing activa en interfaces externas.</t>
  </si>
  <si>
    <t xml:space="preserve">Toda regla allow hacia/desde internet con perfil de seguridad.</t>
  </si>
  <si>
    <t xml:space="preserve">Umbrales de protección definidos en la zona externa.</t>
  </si>
  <si>
    <t xml:space="preserve">MFA obligatorio; solo los portales necesarios publicados.</t>
  </si>
  <si>
    <t xml:space="preserve">Propuestas IKE/IPsec solo con algoritmos fuertes.</t>
  </si>
  <si>
    <t xml:space="preserve">Respaldo periódico cifrado + evidencia de prueba de restauración.</t>
  </si>
  <si>
    <t xml:space="preserve">Prueba de conmutación documentada.</t>
  </si>
  <si>
    <t xml:space="preserve">Checklist de hardening · Palo Alto</t>
  </si>
  <si>
    <t xml:space="preserve">Plataforma de referencia: PAN-OS 10.x / 11.x. Completa las celdas amarillas (Estado y Evidencia).</t>
  </si>
  <si>
    <t xml:space="preserve">set cli config-output-format set
show config running | match permitted-ip</t>
  </si>
  <si>
    <t xml:space="preserve">show config running | match disable-</t>
  </si>
  <si>
    <t xml:space="preserve">show config running | match ssl-tls-service-profile</t>
  </si>
  <si>
    <t xml:space="preserve">show config running | match idle-timeout</t>
  </si>
  <si>
    <t xml:space="preserve">show config running | match login-banner</t>
  </si>
  <si>
    <t xml:space="preserve">show admins all</t>
  </si>
  <si>
    <t xml:space="preserve">show config running | match password-complexity</t>
  </si>
  <si>
    <t xml:space="preserve">show config running | match failed-attempts</t>
  </si>
  <si>
    <t xml:space="preserve">show config running | match authentication-profile</t>
  </si>
  <si>
    <t xml:space="preserve">show config running | match role</t>
  </si>
  <si>
    <t xml:space="preserve">show config running | match interface-management-profile</t>
  </si>
  <si>
    <t xml:space="preserve">show config running | match snmp</t>
  </si>
  <si>
    <t xml:space="preserve">show config running | match ntp-servers
show ntp</t>
  </si>
  <si>
    <t xml:space="preserve">show config running | match dns</t>
  </si>
  <si>
    <t xml:space="preserve">show config running | match syslog</t>
  </si>
  <si>
    <t xml:space="preserve">show log config</t>
  </si>
  <si>
    <t xml:space="preserve">show system info</t>
  </si>
  <si>
    <t xml:space="preserve">show config running | match update-schedule</t>
  </si>
  <si>
    <t xml:space="preserve">show running rule-use rule-base security type unused vsys vsys1</t>
  </si>
  <si>
    <t xml:space="preserve">show config running | match zone-protection-profile</t>
  </si>
  <si>
    <t xml:space="preserve">show config running | match profile-setting</t>
  </si>
  <si>
    <t xml:space="preserve">show high-availability state</t>
  </si>
  <si>
    <t xml:space="preserve">Checklist de hardening · FortiGate</t>
  </si>
  <si>
    <t xml:space="preserve">Plataforma de referencia: FortiOS 7.0 – 7.6. Completa las celdas amarillas (Estado y Evidencia).</t>
  </si>
  <si>
    <t xml:space="preserve">show system admin   (trusthost)
show system interface   (allowaccess)</t>
  </si>
  <si>
    <t xml:space="preserve">show system interface   (allowaccess)</t>
  </si>
  <si>
    <t xml:space="preserve">show full-configuration system global | grep -i -e strong-crypto -e admin-https-ssl -e admin-server-cert</t>
  </si>
  <si>
    <t xml:space="preserve">show full-configuration system global | grep admintimeout</t>
  </si>
  <si>
    <t xml:space="preserve">show full-configuration system global | grep login-banner</t>
  </si>
  <si>
    <t xml:space="preserve">show system admin</t>
  </si>
  <si>
    <t xml:space="preserve">show system password-policy</t>
  </si>
  <si>
    <t xml:space="preserve">show full-configuration system global | grep admin-lockout</t>
  </si>
  <si>
    <t xml:space="preserve">show system admin   (two-factor)</t>
  </si>
  <si>
    <t xml:space="preserve">show system accprofile</t>
  </si>
  <si>
    <t xml:space="preserve">show system interface</t>
  </si>
  <si>
    <t xml:space="preserve">show system snmp community
show system snmp user</t>
  </si>
  <si>
    <t xml:space="preserve">show system ntp</t>
  </si>
  <si>
    <t xml:space="preserve">show system dns
show system dns-server</t>
  </si>
  <si>
    <t xml:space="preserve">show log syslogd setting
show log fortianalyzer setting</t>
  </si>
  <si>
    <t xml:space="preserve">show firewall policy   (logtraffic)</t>
  </si>
  <si>
    <t xml:space="preserve">get system status</t>
  </si>
  <si>
    <t xml:space="preserve">diagnose autoupdate versions</t>
  </si>
  <si>
    <t xml:space="preserve">show firewall local-in-policy</t>
  </si>
  <si>
    <t xml:space="preserve">show firewall policy</t>
  </si>
  <si>
    <t xml:space="preserve">show full-configuration system settings | grep asymroute</t>
  </si>
  <si>
    <t xml:space="preserve">show firewall DoS-policy</t>
  </si>
  <si>
    <t xml:space="preserve">show vpn ssl settings</t>
  </si>
  <si>
    <t xml:space="preserve">show vpn ipsec phase1-interface</t>
  </si>
  <si>
    <t xml:space="preserve">get system ha status</t>
  </si>
  <si>
    <t xml:space="preserve">Checklist de hardening · Check Point</t>
  </si>
  <si>
    <t xml:space="preserve">Plataforma de referencia: Gaia R81 / R82. Completa las celdas amarillas (Estado y Evidencia).</t>
  </si>
  <si>
    <t xml:space="preserve">clish: show allowed-client all</t>
  </si>
  <si>
    <t xml:space="preserve">clish: show net-access telnet</t>
  </si>
  <si>
    <t xml:space="preserve">Navegador: ver el certificado del Gaia Portal</t>
  </si>
  <si>
    <t xml:space="preserve">clish: show inactivity-timeout</t>
  </si>
  <si>
    <t xml:space="preserve">clish: show configuration message</t>
  </si>
  <si>
    <t xml:space="preserve">clish: show users</t>
  </si>
  <si>
    <t xml:space="preserve">clish: show password-controls all</t>
  </si>
  <si>
    <t xml:space="preserve">clish: show rba all</t>
  </si>
  <si>
    <t xml:space="preserve">cpstat fw
clish: show configuration</t>
  </si>
  <si>
    <t xml:space="preserve">clish: show configuration snmp</t>
  </si>
  <si>
    <t xml:space="preserve">clish: show ntp servers</t>
  </si>
  <si>
    <t xml:space="preserve">clish: show dns primary</t>
  </si>
  <si>
    <t xml:space="preserve">clish: show configuration syslog</t>
  </si>
  <si>
    <t xml:space="preserve">clish: show version all
expert: cpinfo -y all</t>
  </si>
  <si>
    <t xml:space="preserve">cpstat fw</t>
  </si>
  <si>
    <t xml:space="preserve">expert: fw samp get</t>
  </si>
  <si>
    <t xml:space="preserve">expert: cphaprob state</t>
  </si>
  <si>
    <t xml:space="preserve">Revisión de la base de reglas: lo que el benchmark no ve</t>
  </si>
  <si>
    <t xml:space="preserve">Aplica igual a los cuatro fabricantes. Es donde más hallazgos aparecen en una auditoría real.</t>
  </si>
  <si>
    <t xml:space="preserve">Qué buscar</t>
  </si>
  <si>
    <t xml:space="preserve">Por qué importa</t>
  </si>
  <si>
    <t xml:space="preserve">Cómo encontrarlo</t>
  </si>
  <si>
    <t xml:space="preserve">Hallazgos (cantidad)</t>
  </si>
  <si>
    <t xml:space="preserve">Comentario</t>
  </si>
  <si>
    <t xml:space="preserve">RR-01</t>
  </si>
  <si>
    <t xml:space="preserve">Reglas 'any-any' o con servicio 'any' hacia redes internas</t>
  </si>
  <si>
    <t xml:space="preserve">Anulan la política: todo lo demás sobra.</t>
  </si>
  <si>
    <t xml:space="preserve">Filtrar reglas con any en origen, destino y servicio.</t>
  </si>
  <si>
    <t xml:space="preserve">RR-02</t>
  </si>
  <si>
    <t xml:space="preserve">Reglas sombreadas (nunca coinciden porque otra más arriba las cubre)</t>
  </si>
  <si>
    <t xml:space="preserve">Dan una falsa sensación de control.</t>
  </si>
  <si>
    <t xml:space="preserve">Herramienta de análisis (Policy Optimizer, Nipper, AlgoSec, Tufin) o revisión manual del orden.</t>
  </si>
  <si>
    <t xml:space="preserve">RR-03</t>
  </si>
  <si>
    <t xml:space="preserve">Reglas sin uso en 90 días o más</t>
  </si>
  <si>
    <t xml:space="preserve">Accesos olvidados que nadie recuerda por qué existen.</t>
  </si>
  <si>
    <t xml:space="preserve">Hit count / Last used; confirmar con el dueño antes de borrar.</t>
  </si>
  <si>
    <t xml:space="preserve">RR-04</t>
  </si>
  <si>
    <t xml:space="preserve">Reglas sin log</t>
  </si>
  <si>
    <t xml:space="preserve">No hay evidencia ni detección.</t>
  </si>
  <si>
    <t xml:space="preserve">Revisar la columna de log/track en reglas allow críticas y en la cleanup rule.</t>
  </si>
  <si>
    <t xml:space="preserve">RR-05</t>
  </si>
  <si>
    <t xml:space="preserve">Reglas sin descripción, dueño o ticket</t>
  </si>
  <si>
    <t xml:space="preserve">Nadie se atreve a eliminarlas.</t>
  </si>
  <si>
    <t xml:space="preserve">Exigir descripción + responsable + fecha de revisión.</t>
  </si>
  <si>
    <t xml:space="preserve">RR-06</t>
  </si>
  <si>
    <t xml:space="preserve">Servicios peligrosos permitidos desde/hacia internet (SMB, RDP, Telnet, bases de datos)</t>
  </si>
  <si>
    <t xml:space="preserve">Vectores clásicos de ransomware e intrusión.</t>
  </si>
  <si>
    <t xml:space="preserve">Buscar puertos 445, 3389, 23, 1433, 3306, 5432, 6379 en reglas con origen internet.</t>
  </si>
  <si>
    <t xml:space="preserve">RR-07</t>
  </si>
  <si>
    <t xml:space="preserve">NAT/publicaciones con origen 'any' que podrían restringirse</t>
  </si>
  <si>
    <t xml:space="preserve">Exposición innecesaria del servicio publicado.</t>
  </si>
  <si>
    <t xml:space="preserve">Restringir el origen (ej. KALI_EXTERNO en el lab) o publicar detrás de VPN.</t>
  </si>
  <si>
    <t xml:space="preserve">RR-08</t>
  </si>
  <si>
    <t xml:space="preserve">Objetos y grupos duplicados o sin uso</t>
  </si>
  <si>
    <t xml:space="preserve">Confunden y esconden errores.</t>
  </si>
  <si>
    <t xml:space="preserve">Limpieza de objetos no referenciados.</t>
  </si>
  <si>
    <t xml:space="preserve">RR-09</t>
  </si>
  <si>
    <t xml:space="preserve">Reglas temporales vencidas</t>
  </si>
  <si>
    <t xml:space="preserve">Lo 'temporal' se vuelve permanente.</t>
  </si>
  <si>
    <t xml:space="preserve">Fecha de expiración en la regla o en el ticket; revisión trimestral.</t>
  </si>
  <si>
    <t xml:space="preserve">RR-10</t>
  </si>
  <si>
    <t xml:space="preserve">Reglas allow hacia internet sin perfil de seguridad</t>
  </si>
  <si>
    <t xml:space="preserve">Tráfico permitido sin inspección.</t>
  </si>
  <si>
    <t xml:space="preserve">Verificar IPS/AV/URL en cada regla allow.</t>
  </si>
  <si>
    <t xml:space="preserve">Total de hallazgos</t>
  </si>
  <si>
    <t xml:space="preserve">Herramientas y benchmarks por fabricante</t>
  </si>
  <si>
    <t xml:space="preserve">Estado verificado en octubre de 2026. Revisa la licencia del cliente: varias funciones nativas son de pago.</t>
  </si>
  <si>
    <t xml:space="preserve">Fabricante</t>
  </si>
  <si>
    <t xml:space="preserve">Benchmark CIS disponible</t>
  </si>
  <si>
    <t xml:space="preserve">Herramienta nativa</t>
  </si>
  <si>
    <t xml:space="preserve">Notas y licencia</t>
  </si>
  <si>
    <t xml:space="preserve">Auditoría externa / multifabricante</t>
  </si>
  <si>
    <t xml:space="preserve">Qué pedir al cliente</t>
  </si>
  <si>
    <t xml:space="preserve">Fuente</t>
  </si>
  <si>
    <t xml:space="preserve">CIS pfSense Firewall (listado en cisecurity.org).</t>
  </si>
  <si>
    <t xml:space="preserve">No tiene evaluador nativo: en el curso se usa auditar-pfsense.py sobre el config.xml.</t>
  </si>
  <si>
    <t xml:space="preserve">Exportar config.xml sin cifrar solo para auditar y borrarlo con shred después (B1.1, B4.1).</t>
  </si>
  <si>
    <t xml:space="preserve">Revisión manual del config.xml.</t>
  </si>
  <si>
    <t xml:space="preserve">config.xml (Diagnostics › Backup &amp; Restore).</t>
  </si>
  <si>
    <t xml:space="preserve">https://learn.cisecurity.org/Benchmarks</t>
  </si>
  <si>
    <t xml:space="preserve">CIS Palo Alto Firewall 11 (v1.2.0) y Firewall 10 (v1.2.0 / FINAL v1.3.0).</t>
  </si>
  <si>
    <t xml:space="preserve">Best Practice Assessment (BPA) en Strata Cloud Manager / AIOps for NGFW, subiendo un Tech Support File.</t>
  </si>
  <si>
    <t xml:space="preserve">Desde el 17/07/2023 el BPA ya no se ejecuta desde el Customer Support Portal. En foros de 2026 reportan que el BPA ad-hoc requiere licencia AIOps Premium o SCM Pro, o la API: confirmarlo con la licencia del cliente.</t>
  </si>
  <si>
    <t xml:space="preserve">Nessus (archivos .audit CIS de Palo Alto), Nipper, AlgoSec, Tufin, FireMon.</t>
  </si>
  <si>
    <t xml:space="preserve">Running config XML o Tech Support File; exportación de Panorama si existe.</t>
  </si>
  <si>
    <t xml:space="preserve">https://www.cisecurity.org/benchmark/palo_alto_networks
https://docs.paloaltonetworks.com/strata-cloud-manager/aiops/best-practices-in-ngfw/on-demand-bpa-report</t>
  </si>
  <si>
    <t xml:space="preserve">CIS FortiGate 7.0.x (v1.4.0) y FortiGate 7.4.x (v1.0.1).</t>
  </si>
  <si>
    <t xml:space="preserve">Security Rating (Security Fabric › Security Rating).</t>
  </si>
  <si>
    <t xml:space="preserve">Incluye pruebas sin licencia; considera NIST, PCI DSS, GDPR y CIS. La vista agrupada por CIS (desde 7.4.1) requiere licencia Attack Surface Security Rating.</t>
  </si>
  <si>
    <t xml:space="preserve">Nessus (CIS FortiGate L1/L2 + Tenable FortiOS Best Practices), Nipper, AlgoSec, Tufin, FireMon.</t>
  </si>
  <si>
    <t xml:space="preserve">Respaldo completo de configuración; salida de get system status.</t>
  </si>
  <si>
    <t xml:space="preserve">https://www.cisecurity.org/benchmark/fortinet
https://docs.fortinet.com/document/fortigate/7.4.0/new-features/794602</t>
  </si>
  <si>
    <t xml:space="preserve">CIS Check Point Firewall v1.1.0, archivado por CIS desde el 10/10/2025 por falta de expertos: usar como referencia histórica.</t>
  </si>
  <si>
    <t xml:space="preserve">Compliance Software Blade (SmartConsole › Compliance) con biblioteca de buenas prácticas de Check Point.</t>
  </si>
  <si>
    <t xml:space="preserve">Monitorea gateways, blades, políticas y configuración de forma continua. Una revisión independiente (CheckMates) encontró límites: no validaba que la stealth rule incluya el servidor de gestión ni manejaba inline layers. Complementar con revisión manual.</t>
  </si>
  <si>
    <t xml:space="preserve">Nipper, AlgoSec, Tufin, FireMon.</t>
  </si>
  <si>
    <t xml:space="preserve">Configuración de Gaia (clish show configuration) y exportación del policy package desde el servidor de gestión.</t>
  </si>
  <si>
    <t xml:space="preserve">https://www.cisecurity.org/insights/blog/cis-benchmarks-monthly-update-october-2025
https://sc1.checkpoint.com/documents/R82/WebAdminGuides/EN/CP_R82_SecurityManagement_AdminGuide/Content/Topics-SECMG/Compliance.htm</t>
  </si>
  <si>
    <t xml:space="preserve">Todos</t>
  </si>
  <si>
    <t xml:space="preserve">—</t>
  </si>
  <si>
    <t xml:space="preserve">Antes de auditar configuraciones: versión vs. avisos del fabricante (PSIRT) y catálogo KEV de CISA. En equipos perimetrales pesa más que cualquier configuración.</t>
  </si>
  <si>
    <t xml:space="preserve">Escaneo externo (nmap, como la batería de Kali) y verificación de logs en el SIEM.</t>
  </si>
  <si>
    <t xml:space="preserve">Versión exacta y fecha del último parche.</t>
  </si>
  <si>
    <t xml:space="preserve">https://www.cisa.gov/known-exploited-vulnerabilities-catalog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</si>
</sst>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2D4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C00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2B2D42"/>
      <name val="Arial"/>
      <family val="0"/>
      <charset val="1"/>
    </font>
    <font>
      <sz val="9"/>
      <name val="Consolas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2D42"/>
        <bgColor rgb="FF333300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E76F51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B2D4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6100"/>
      <rgbColor rgb="FF333300"/>
      <rgbColor rgb="FF9C5700"/>
      <rgbColor rgb="FF993366"/>
      <rgbColor rgb="FF333399"/>
      <rgbColor rgb="FF2B2D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 cumplimiento por plataforma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Resumen!I4</c:f>
              <c:strCache>
                <c:ptCount val="1"/>
                <c:pt idx="0">
                  <c:v>% cumplimiento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Resumen!$A$5:$A$8</c:f>
              <c:strCache>
                <c:ptCount val="4"/>
                <c:pt idx="0">
                  <c:v>pfSense</c:v>
                </c:pt>
                <c:pt idx="1">
                  <c:v>Palo Alto</c:v>
                </c:pt>
                <c:pt idx="2">
                  <c:v>FortiGate</c:v>
                </c:pt>
                <c:pt idx="3">
                  <c:v>Check Point</c:v>
                </c:pt>
              </c:strCache>
            </c:strRef>
          </c:cat>
          <c:val>
            <c:numRef>
              <c:f>Resumen!$I$5:$I$8</c:f>
              <c:numCache>
                <c:formatCode>0%</c:formatCode>
                <c:ptCount val="4"/>
                <c:pt idx="0">
                  <c:v>0.0303030303030303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6267714"/>
        <c:axId val="99057880"/>
      </c:barChart>
      <c:catAx>
        <c:axId val="62677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57880"/>
        <c:crosses val="autoZero"/>
        <c:auto val="1"/>
        <c:lblAlgn val="ctr"/>
        <c:lblOffset val="100"/>
        <c:noMultiLvlLbl val="0"/>
      </c:catAx>
      <c:valAx>
        <c:axId val="9905788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77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48240</xdr:rowOff>
    </xdr:from>
    <xdr:to>
      <xdr:col>7</xdr:col>
      <xdr:colOff>261720</xdr:colOff>
      <xdr:row>22</xdr:row>
      <xdr:rowOff>91440</xdr:rowOff>
    </xdr:to>
    <xdr:graphicFrame>
      <xdr:nvGraphicFramePr>
        <xdr:cNvPr id="0" name="Chart 1"/>
        <xdr:cNvGraphicFramePr/>
      </xdr:nvGraphicFramePr>
      <xdr:xfrm>
        <a:off x="986760" y="19051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90" hidden="false" customHeight="true" outlineLevel="0" collapsed="false">
      <c r="A5" s="3" t="s">
        <v>4</v>
      </c>
      <c r="B5" s="4" t="s">
        <v>5</v>
      </c>
    </row>
    <row r="6" customFormat="false" ht="105" hidden="false" customHeight="true" outlineLevel="0" collapsed="false">
      <c r="A6" s="3" t="s">
        <v>6</v>
      </c>
      <c r="B6" s="4" t="s">
        <v>7</v>
      </c>
    </row>
    <row r="7" customFormat="false" ht="60" hidden="false" customHeight="true" outlineLevel="0" collapsed="false">
      <c r="A7" s="3" t="s">
        <v>8</v>
      </c>
      <c r="B7" s="4" t="s">
        <v>9</v>
      </c>
    </row>
    <row r="8" customFormat="false" ht="18" hidden="false" customHeight="true" outlineLevel="0" collapsed="false">
      <c r="A8" s="3" t="s">
        <v>10</v>
      </c>
      <c r="B8" s="4" t="s">
        <v>11</v>
      </c>
    </row>
    <row r="9" customFormat="false" ht="30" hidden="false" customHeight="true" outlineLevel="0" collapsed="false">
      <c r="A9" s="3" t="s">
        <v>12</v>
      </c>
      <c r="B9" s="4" t="s">
        <v>13</v>
      </c>
    </row>
    <row r="10" customFormat="false" ht="45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  <row r="12" customFormat="false" ht="225" hidden="false" customHeight="true" outlineLevel="0" collapsed="false">
      <c r="A12" s="3" t="s">
        <v>18</v>
      </c>
      <c r="B12" s="4" t="s">
        <v>19</v>
      </c>
    </row>
    <row r="13" customFormat="false" ht="18" hidden="false" customHeight="true" outlineLevel="0" collapsed="false">
      <c r="A13" s="3" t="s">
        <v>20</v>
      </c>
      <c r="B1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23.85" hidden="false" customHeight="fals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</row>
    <row r="5" customFormat="false" ht="15" hidden="false" customHeight="false" outlineLevel="0" collapsed="false">
      <c r="A5" s="6" t="s">
        <v>34</v>
      </c>
      <c r="B5" s="7" t="str">
        <f aca="false">IF(pfSense!B4="","",pfSense!B4)</f>
        <v>fw-senati · pfSense CE 2.8.1 (ejemplo)</v>
      </c>
      <c r="C5" s="8" t="n">
        <f aca="false">pfSense!B5</f>
        <v>33</v>
      </c>
      <c r="D5" s="8" t="n">
        <f aca="false">pfSense!B6</f>
        <v>1</v>
      </c>
      <c r="E5" s="8" t="n">
        <f aca="false">pfSense!B7</f>
        <v>0</v>
      </c>
      <c r="F5" s="8" t="n">
        <f aca="false">pfSense!B8</f>
        <v>0</v>
      </c>
      <c r="G5" s="8" t="n">
        <f aca="false">pfSense!B9</f>
        <v>0</v>
      </c>
      <c r="H5" s="8" t="n">
        <f aca="false">pfSense!B10</f>
        <v>32</v>
      </c>
      <c r="I5" s="9" t="n">
        <f aca="false">pfSense!D5</f>
        <v>0.0303030303030303</v>
      </c>
      <c r="J5" s="8" t="n">
        <f aca="false">pfSense!D8</f>
        <v>0</v>
      </c>
    </row>
    <row r="6" customFormat="false" ht="15" hidden="false" customHeight="false" outlineLevel="0" collapsed="false">
      <c r="A6" s="6" t="s">
        <v>35</v>
      </c>
      <c r="B6" s="7" t="str">
        <f aca="false">IF('Palo Alto'!B4="","",'Palo Alto'!B4)</f>
        <v/>
      </c>
      <c r="C6" s="8" t="n">
        <f aca="false">'Palo Alto'!B5</f>
        <v>33</v>
      </c>
      <c r="D6" s="8" t="n">
        <f aca="false">'Palo Alto'!B6</f>
        <v>0</v>
      </c>
      <c r="E6" s="8" t="n">
        <f aca="false">'Palo Alto'!B7</f>
        <v>0</v>
      </c>
      <c r="F6" s="8" t="n">
        <f aca="false">'Palo Alto'!B8</f>
        <v>0</v>
      </c>
      <c r="G6" s="8" t="n">
        <f aca="false">'Palo Alto'!B9</f>
        <v>0</v>
      </c>
      <c r="H6" s="8" t="n">
        <f aca="false">'Palo Alto'!B10</f>
        <v>33</v>
      </c>
      <c r="I6" s="9" t="n">
        <f aca="false">'Palo Alto'!D5</f>
        <v>0</v>
      </c>
      <c r="J6" s="8" t="n">
        <f aca="false">'Palo Alto'!D8</f>
        <v>0</v>
      </c>
    </row>
    <row r="7" customFormat="false" ht="15" hidden="false" customHeight="false" outlineLevel="0" collapsed="false">
      <c r="A7" s="6" t="s">
        <v>36</v>
      </c>
      <c r="B7" s="7" t="str">
        <f aca="false">IF(FortiGate!B4="","",FortiGate!B4)</f>
        <v/>
      </c>
      <c r="C7" s="8" t="n">
        <f aca="false">FortiGate!B5</f>
        <v>33</v>
      </c>
      <c r="D7" s="8" t="n">
        <f aca="false">FortiGate!B6</f>
        <v>0</v>
      </c>
      <c r="E7" s="8" t="n">
        <f aca="false">FortiGate!B7</f>
        <v>0</v>
      </c>
      <c r="F7" s="8" t="n">
        <f aca="false">FortiGate!B8</f>
        <v>0</v>
      </c>
      <c r="G7" s="8" t="n">
        <f aca="false">FortiGate!B9</f>
        <v>0</v>
      </c>
      <c r="H7" s="8" t="n">
        <f aca="false">FortiGate!B10</f>
        <v>33</v>
      </c>
      <c r="I7" s="9" t="n">
        <f aca="false">FortiGate!D5</f>
        <v>0</v>
      </c>
      <c r="J7" s="8" t="n">
        <f aca="false">FortiGate!D8</f>
        <v>0</v>
      </c>
    </row>
    <row r="8" customFormat="false" ht="15" hidden="false" customHeight="false" outlineLevel="0" collapsed="false">
      <c r="A8" s="6" t="s">
        <v>37</v>
      </c>
      <c r="B8" s="7" t="str">
        <f aca="false">IF('Check Point'!B4="","",'Check Point'!B4)</f>
        <v/>
      </c>
      <c r="C8" s="8" t="n">
        <f aca="false">'Check Point'!B5</f>
        <v>33</v>
      </c>
      <c r="D8" s="8" t="n">
        <f aca="false">'Check Point'!B6</f>
        <v>0</v>
      </c>
      <c r="E8" s="8" t="n">
        <f aca="false">'Check Point'!B7</f>
        <v>0</v>
      </c>
      <c r="F8" s="8" t="n">
        <f aca="false">'Check Point'!B8</f>
        <v>0</v>
      </c>
      <c r="G8" s="8" t="n">
        <f aca="false">'Check Point'!B9</f>
        <v>0</v>
      </c>
      <c r="H8" s="8" t="n">
        <f aca="false">'Check Point'!B10</f>
        <v>33</v>
      </c>
      <c r="I8" s="9" t="n">
        <f aca="false">'Check Point'!D5</f>
        <v>0</v>
      </c>
      <c r="J8" s="8" t="n">
        <f aca="false">'Check Point'!D8</f>
        <v>0</v>
      </c>
    </row>
    <row r="10" customFormat="false" ht="15" hidden="false" customHeight="false" outlineLevel="0" collapsed="false">
      <c r="A10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9" min="7" style="0" width="42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</row>
    <row r="5" customFormat="false" ht="46.25" hidden="false" customHeight="false" outlineLevel="0" collapsed="false">
      <c r="A5" s="4" t="s">
        <v>50</v>
      </c>
      <c r="B5" s="4" t="s">
        <v>51</v>
      </c>
      <c r="C5" s="4" t="s">
        <v>52</v>
      </c>
      <c r="D5" s="4" t="s">
        <v>53</v>
      </c>
      <c r="E5" s="10" t="s">
        <v>54</v>
      </c>
      <c r="F5" s="4" t="s">
        <v>55</v>
      </c>
      <c r="G5" s="4" t="s">
        <v>56</v>
      </c>
      <c r="H5" s="4" t="s">
        <v>57</v>
      </c>
      <c r="I5" s="4" t="s">
        <v>58</v>
      </c>
    </row>
    <row r="6" customFormat="false" ht="35.05" hidden="false" customHeight="false" outlineLevel="0" collapsed="false">
      <c r="A6" s="11" t="s">
        <v>59</v>
      </c>
      <c r="B6" s="11" t="s">
        <v>51</v>
      </c>
      <c r="C6" s="11" t="s">
        <v>60</v>
      </c>
      <c r="D6" s="11" t="s">
        <v>61</v>
      </c>
      <c r="E6" s="12" t="s">
        <v>54</v>
      </c>
      <c r="F6" s="11" t="s">
        <v>62</v>
      </c>
      <c r="G6" s="11" t="s">
        <v>63</v>
      </c>
      <c r="H6" s="11" t="s">
        <v>64</v>
      </c>
      <c r="I6" s="11" t="s">
        <v>65</v>
      </c>
    </row>
    <row r="7" customFormat="false" ht="35.05" hidden="false" customHeight="false" outlineLevel="0" collapsed="false">
      <c r="A7" s="4" t="s">
        <v>66</v>
      </c>
      <c r="B7" s="4" t="s">
        <v>51</v>
      </c>
      <c r="C7" s="4" t="s">
        <v>67</v>
      </c>
      <c r="D7" s="4" t="s">
        <v>68</v>
      </c>
      <c r="E7" s="13" t="s">
        <v>69</v>
      </c>
      <c r="F7" s="4" t="s">
        <v>70</v>
      </c>
      <c r="G7" s="4" t="s">
        <v>71</v>
      </c>
      <c r="H7" s="4" t="s">
        <v>72</v>
      </c>
      <c r="I7" s="4" t="s">
        <v>73</v>
      </c>
    </row>
    <row r="8" customFormat="false" ht="23.85" hidden="false" customHeight="false" outlineLevel="0" collapsed="false">
      <c r="A8" s="11" t="s">
        <v>74</v>
      </c>
      <c r="B8" s="11" t="s">
        <v>51</v>
      </c>
      <c r="C8" s="11" t="s">
        <v>75</v>
      </c>
      <c r="D8" s="11" t="s">
        <v>76</v>
      </c>
      <c r="E8" s="12" t="s">
        <v>54</v>
      </c>
      <c r="F8" s="11" t="s">
        <v>77</v>
      </c>
      <c r="G8" s="11" t="s">
        <v>78</v>
      </c>
      <c r="H8" s="11" t="s">
        <v>79</v>
      </c>
      <c r="I8" s="11" t="s">
        <v>80</v>
      </c>
    </row>
    <row r="9" customFormat="false" ht="23.85" hidden="false" customHeight="false" outlineLevel="0" collapsed="false">
      <c r="A9" s="4" t="s">
        <v>81</v>
      </c>
      <c r="B9" s="4" t="s">
        <v>51</v>
      </c>
      <c r="C9" s="4" t="s">
        <v>82</v>
      </c>
      <c r="D9" s="4" t="s">
        <v>83</v>
      </c>
      <c r="E9" s="13" t="s">
        <v>69</v>
      </c>
      <c r="F9" s="4" t="s">
        <v>84</v>
      </c>
      <c r="G9" s="4" t="s">
        <v>85</v>
      </c>
      <c r="H9" s="4" t="s">
        <v>86</v>
      </c>
      <c r="I9" s="4" t="s">
        <v>87</v>
      </c>
    </row>
    <row r="10" customFormat="false" ht="35.05" hidden="false" customHeight="false" outlineLevel="0" collapsed="false">
      <c r="A10" s="11" t="s">
        <v>88</v>
      </c>
      <c r="B10" s="11" t="s">
        <v>89</v>
      </c>
      <c r="C10" s="11" t="s">
        <v>90</v>
      </c>
      <c r="D10" s="11" t="s">
        <v>91</v>
      </c>
      <c r="E10" s="12" t="s">
        <v>54</v>
      </c>
      <c r="F10" s="11" t="s">
        <v>92</v>
      </c>
      <c r="G10" s="11" t="s">
        <v>93</v>
      </c>
      <c r="H10" s="11" t="s">
        <v>94</v>
      </c>
      <c r="I10" s="11" t="s">
        <v>95</v>
      </c>
    </row>
    <row r="11" customFormat="false" ht="35.05" hidden="false" customHeight="false" outlineLevel="0" collapsed="false">
      <c r="A11" s="4" t="s">
        <v>96</v>
      </c>
      <c r="B11" s="4" t="s">
        <v>89</v>
      </c>
      <c r="C11" s="4" t="s">
        <v>97</v>
      </c>
      <c r="D11" s="4" t="s">
        <v>98</v>
      </c>
      <c r="E11" s="10" t="s">
        <v>54</v>
      </c>
      <c r="F11" s="4" t="s">
        <v>99</v>
      </c>
      <c r="G11" s="4" t="s">
        <v>100</v>
      </c>
      <c r="H11" s="4" t="s">
        <v>101</v>
      </c>
      <c r="I11" s="4" t="s">
        <v>102</v>
      </c>
    </row>
    <row r="12" customFormat="false" ht="35.05" hidden="false" customHeight="false" outlineLevel="0" collapsed="false">
      <c r="A12" s="11" t="s">
        <v>103</v>
      </c>
      <c r="B12" s="11" t="s">
        <v>89</v>
      </c>
      <c r="C12" s="11" t="s">
        <v>104</v>
      </c>
      <c r="D12" s="11" t="s">
        <v>105</v>
      </c>
      <c r="E12" s="12" t="s">
        <v>54</v>
      </c>
      <c r="F12" s="11" t="s">
        <v>106</v>
      </c>
      <c r="G12" s="11" t="s">
        <v>107</v>
      </c>
      <c r="H12" s="11" t="s">
        <v>108</v>
      </c>
      <c r="I12" s="11" t="s">
        <v>109</v>
      </c>
    </row>
    <row r="13" customFormat="false" ht="46.25" hidden="false" customHeight="false" outlineLevel="0" collapsed="false">
      <c r="A13" s="4" t="s">
        <v>110</v>
      </c>
      <c r="B13" s="4" t="s">
        <v>89</v>
      </c>
      <c r="C13" s="4" t="s">
        <v>111</v>
      </c>
      <c r="D13" s="4" t="s">
        <v>112</v>
      </c>
      <c r="E13" s="13" t="s">
        <v>69</v>
      </c>
      <c r="F13" s="4" t="s">
        <v>113</v>
      </c>
      <c r="G13" s="4" t="s">
        <v>114</v>
      </c>
      <c r="H13" s="4" t="s">
        <v>115</v>
      </c>
      <c r="I13" s="4" t="s">
        <v>116</v>
      </c>
    </row>
    <row r="14" customFormat="false" ht="23.85" hidden="false" customHeight="false" outlineLevel="0" collapsed="false">
      <c r="A14" s="11" t="s">
        <v>117</v>
      </c>
      <c r="B14" s="11" t="s">
        <v>89</v>
      </c>
      <c r="C14" s="11" t="s">
        <v>118</v>
      </c>
      <c r="D14" s="11" t="s">
        <v>119</v>
      </c>
      <c r="E14" s="14" t="s">
        <v>69</v>
      </c>
      <c r="F14" s="11" t="s">
        <v>120</v>
      </c>
      <c r="G14" s="11" t="s">
        <v>121</v>
      </c>
      <c r="H14" s="11" t="s">
        <v>122</v>
      </c>
      <c r="I14" s="11" t="s">
        <v>123</v>
      </c>
    </row>
    <row r="15" customFormat="false" ht="23.85" hidden="false" customHeight="false" outlineLevel="0" collapsed="false">
      <c r="A15" s="4" t="s">
        <v>124</v>
      </c>
      <c r="B15" s="4" t="s">
        <v>125</v>
      </c>
      <c r="C15" s="4" t="s">
        <v>126</v>
      </c>
      <c r="D15" s="4" t="s">
        <v>127</v>
      </c>
      <c r="E15" s="10" t="s">
        <v>54</v>
      </c>
      <c r="F15" s="4" t="s">
        <v>128</v>
      </c>
      <c r="G15" s="4" t="s">
        <v>129</v>
      </c>
      <c r="H15" s="4" t="s">
        <v>130</v>
      </c>
      <c r="I15" s="4" t="s">
        <v>131</v>
      </c>
    </row>
    <row r="16" customFormat="false" ht="35.05" hidden="false" customHeight="false" outlineLevel="0" collapsed="false">
      <c r="A16" s="11" t="s">
        <v>132</v>
      </c>
      <c r="B16" s="11" t="s">
        <v>125</v>
      </c>
      <c r="C16" s="11" t="s">
        <v>133</v>
      </c>
      <c r="D16" s="11" t="s">
        <v>134</v>
      </c>
      <c r="E16" s="12" t="s">
        <v>54</v>
      </c>
      <c r="F16" s="11" t="s">
        <v>135</v>
      </c>
      <c r="G16" s="11" t="s">
        <v>136</v>
      </c>
      <c r="H16" s="11" t="s">
        <v>137</v>
      </c>
      <c r="I16" s="11" t="s">
        <v>138</v>
      </c>
    </row>
    <row r="17" customFormat="false" ht="23.85" hidden="false" customHeight="false" outlineLevel="0" collapsed="false">
      <c r="A17" s="4" t="s">
        <v>139</v>
      </c>
      <c r="B17" s="4" t="s">
        <v>125</v>
      </c>
      <c r="C17" s="4" t="s">
        <v>140</v>
      </c>
      <c r="D17" s="4" t="s">
        <v>141</v>
      </c>
      <c r="E17" s="10" t="s">
        <v>54</v>
      </c>
      <c r="F17" s="4" t="s">
        <v>142</v>
      </c>
      <c r="G17" s="4" t="s">
        <v>143</v>
      </c>
      <c r="H17" s="4" t="s">
        <v>144</v>
      </c>
      <c r="I17" s="4" t="s">
        <v>145</v>
      </c>
    </row>
    <row r="18" customFormat="false" ht="23.85" hidden="false" customHeight="false" outlineLevel="0" collapsed="false">
      <c r="A18" s="11" t="s">
        <v>146</v>
      </c>
      <c r="B18" s="11" t="s">
        <v>125</v>
      </c>
      <c r="C18" s="11" t="s">
        <v>147</v>
      </c>
      <c r="D18" s="11" t="s">
        <v>148</v>
      </c>
      <c r="E18" s="14" t="s">
        <v>69</v>
      </c>
      <c r="F18" s="11" t="s">
        <v>149</v>
      </c>
      <c r="G18" s="11" t="s">
        <v>150</v>
      </c>
      <c r="H18" s="11" t="s">
        <v>151</v>
      </c>
      <c r="I18" s="11" t="s">
        <v>152</v>
      </c>
    </row>
    <row r="19" customFormat="false" ht="35.05" hidden="false" customHeight="false" outlineLevel="0" collapsed="false">
      <c r="A19" s="4" t="s">
        <v>153</v>
      </c>
      <c r="B19" s="4" t="s">
        <v>154</v>
      </c>
      <c r="C19" s="4" t="s">
        <v>155</v>
      </c>
      <c r="D19" s="4" t="s">
        <v>156</v>
      </c>
      <c r="E19" s="10" t="s">
        <v>54</v>
      </c>
      <c r="F19" s="4" t="s">
        <v>157</v>
      </c>
      <c r="G19" s="4" t="s">
        <v>158</v>
      </c>
      <c r="H19" s="4" t="s">
        <v>159</v>
      </c>
      <c r="I19" s="4" t="s">
        <v>160</v>
      </c>
    </row>
    <row r="20" customFormat="false" ht="35.05" hidden="false" customHeight="false" outlineLevel="0" collapsed="false">
      <c r="A20" s="11" t="s">
        <v>161</v>
      </c>
      <c r="B20" s="11" t="s">
        <v>154</v>
      </c>
      <c r="C20" s="11" t="s">
        <v>162</v>
      </c>
      <c r="D20" s="11" t="s">
        <v>163</v>
      </c>
      <c r="E20" s="12" t="s">
        <v>54</v>
      </c>
      <c r="F20" s="11" t="s">
        <v>164</v>
      </c>
      <c r="G20" s="11" t="s">
        <v>165</v>
      </c>
      <c r="H20" s="11" t="s">
        <v>166</v>
      </c>
      <c r="I20" s="11" t="s">
        <v>167</v>
      </c>
    </row>
    <row r="21" customFormat="false" ht="35.05" hidden="false" customHeight="false" outlineLevel="0" collapsed="false">
      <c r="A21" s="4" t="s">
        <v>168</v>
      </c>
      <c r="B21" s="4" t="s">
        <v>154</v>
      </c>
      <c r="C21" s="4" t="s">
        <v>169</v>
      </c>
      <c r="D21" s="4" t="s">
        <v>170</v>
      </c>
      <c r="E21" s="10" t="s">
        <v>54</v>
      </c>
      <c r="F21" s="4" t="s">
        <v>171</v>
      </c>
      <c r="G21" s="4" t="s">
        <v>172</v>
      </c>
      <c r="H21" s="4" t="s">
        <v>173</v>
      </c>
      <c r="I21" s="4" t="s">
        <v>174</v>
      </c>
    </row>
    <row r="22" customFormat="false" ht="35.05" hidden="false" customHeight="false" outlineLevel="0" collapsed="false">
      <c r="A22" s="11" t="s">
        <v>175</v>
      </c>
      <c r="B22" s="11" t="s">
        <v>176</v>
      </c>
      <c r="C22" s="11" t="s">
        <v>177</v>
      </c>
      <c r="D22" s="11" t="s">
        <v>178</v>
      </c>
      <c r="E22" s="12" t="s">
        <v>54</v>
      </c>
      <c r="F22" s="11" t="s">
        <v>179</v>
      </c>
      <c r="G22" s="11" t="s">
        <v>180</v>
      </c>
      <c r="H22" s="11" t="s">
        <v>181</v>
      </c>
      <c r="I22" s="11" t="s">
        <v>182</v>
      </c>
    </row>
    <row r="23" customFormat="false" ht="23.85" hidden="false" customHeight="false" outlineLevel="0" collapsed="false">
      <c r="A23" s="4" t="s">
        <v>183</v>
      </c>
      <c r="B23" s="4" t="s">
        <v>176</v>
      </c>
      <c r="C23" s="4" t="s">
        <v>184</v>
      </c>
      <c r="D23" s="4" t="s">
        <v>185</v>
      </c>
      <c r="E23" s="10" t="s">
        <v>54</v>
      </c>
      <c r="F23" s="4" t="s">
        <v>186</v>
      </c>
      <c r="G23" s="4" t="s">
        <v>187</v>
      </c>
      <c r="H23" s="4" t="s">
        <v>188</v>
      </c>
      <c r="I23" s="4" t="s">
        <v>189</v>
      </c>
    </row>
    <row r="24" customFormat="false" ht="35.05" hidden="false" customHeight="false" outlineLevel="0" collapsed="false">
      <c r="A24" s="11" t="s">
        <v>190</v>
      </c>
      <c r="B24" s="11" t="s">
        <v>191</v>
      </c>
      <c r="C24" s="11" t="s">
        <v>192</v>
      </c>
      <c r="D24" s="11" t="s">
        <v>193</v>
      </c>
      <c r="E24" s="12" t="s">
        <v>54</v>
      </c>
      <c r="F24" s="11" t="s">
        <v>194</v>
      </c>
      <c r="G24" s="11" t="s">
        <v>195</v>
      </c>
      <c r="H24" s="11" t="s">
        <v>196</v>
      </c>
      <c r="I24" s="11" t="s">
        <v>197</v>
      </c>
    </row>
    <row r="25" customFormat="false" ht="35.05" hidden="false" customHeight="false" outlineLevel="0" collapsed="false">
      <c r="A25" s="4" t="s">
        <v>198</v>
      </c>
      <c r="B25" s="4" t="s">
        <v>191</v>
      </c>
      <c r="C25" s="4" t="s">
        <v>199</v>
      </c>
      <c r="D25" s="4" t="s">
        <v>200</v>
      </c>
      <c r="E25" s="10" t="s">
        <v>54</v>
      </c>
      <c r="F25" s="4" t="s">
        <v>201</v>
      </c>
      <c r="G25" s="4" t="s">
        <v>202</v>
      </c>
      <c r="H25" s="4" t="s">
        <v>203</v>
      </c>
      <c r="I25" s="4" t="s">
        <v>204</v>
      </c>
    </row>
    <row r="26" customFormat="false" ht="23.85" hidden="false" customHeight="false" outlineLevel="0" collapsed="false">
      <c r="A26" s="11" t="s">
        <v>205</v>
      </c>
      <c r="B26" s="11" t="s">
        <v>191</v>
      </c>
      <c r="C26" s="11" t="s">
        <v>206</v>
      </c>
      <c r="D26" s="11" t="s">
        <v>207</v>
      </c>
      <c r="E26" s="12" t="s">
        <v>54</v>
      </c>
      <c r="F26" s="11" t="s">
        <v>208</v>
      </c>
      <c r="G26" s="11" t="s">
        <v>209</v>
      </c>
      <c r="H26" s="11" t="s">
        <v>210</v>
      </c>
      <c r="I26" s="11" t="s">
        <v>211</v>
      </c>
    </row>
    <row r="27" customFormat="false" ht="23.85" hidden="false" customHeight="false" outlineLevel="0" collapsed="false">
      <c r="A27" s="4" t="s">
        <v>212</v>
      </c>
      <c r="B27" s="4" t="s">
        <v>191</v>
      </c>
      <c r="C27" s="4" t="s">
        <v>213</v>
      </c>
      <c r="D27" s="4" t="s">
        <v>214</v>
      </c>
      <c r="E27" s="13" t="s">
        <v>69</v>
      </c>
      <c r="F27" s="4" t="s">
        <v>215</v>
      </c>
      <c r="G27" s="4" t="s">
        <v>216</v>
      </c>
      <c r="H27" s="4" t="s">
        <v>217</v>
      </c>
      <c r="I27" s="4" t="s">
        <v>218</v>
      </c>
    </row>
    <row r="28" customFormat="false" ht="23.85" hidden="false" customHeight="false" outlineLevel="0" collapsed="false">
      <c r="A28" s="11" t="s">
        <v>219</v>
      </c>
      <c r="B28" s="11" t="s">
        <v>191</v>
      </c>
      <c r="C28" s="11" t="s">
        <v>220</v>
      </c>
      <c r="D28" s="11" t="s">
        <v>221</v>
      </c>
      <c r="E28" s="14" t="s">
        <v>69</v>
      </c>
      <c r="F28" s="11" t="s">
        <v>222</v>
      </c>
      <c r="G28" s="11" t="s">
        <v>223</v>
      </c>
      <c r="H28" s="11" t="s">
        <v>224</v>
      </c>
      <c r="I28" s="11" t="s">
        <v>225</v>
      </c>
    </row>
    <row r="29" customFormat="false" ht="23.85" hidden="false" customHeight="false" outlineLevel="0" collapsed="false">
      <c r="A29" s="4" t="s">
        <v>226</v>
      </c>
      <c r="B29" s="4" t="s">
        <v>191</v>
      </c>
      <c r="C29" s="4" t="s">
        <v>227</v>
      </c>
      <c r="D29" s="4" t="s">
        <v>228</v>
      </c>
      <c r="E29" s="10" t="s">
        <v>54</v>
      </c>
      <c r="F29" s="4" t="s">
        <v>229</v>
      </c>
      <c r="G29" s="4" t="s">
        <v>230</v>
      </c>
      <c r="H29" s="4" t="s">
        <v>231</v>
      </c>
      <c r="I29" s="4" t="s">
        <v>232</v>
      </c>
    </row>
    <row r="30" customFormat="false" ht="23.85" hidden="false" customHeight="false" outlineLevel="0" collapsed="false">
      <c r="A30" s="11" t="s">
        <v>233</v>
      </c>
      <c r="B30" s="11" t="s">
        <v>191</v>
      </c>
      <c r="C30" s="11" t="s">
        <v>234</v>
      </c>
      <c r="D30" s="11" t="s">
        <v>235</v>
      </c>
      <c r="E30" s="12" t="s">
        <v>54</v>
      </c>
      <c r="F30" s="11" t="s">
        <v>236</v>
      </c>
      <c r="G30" s="11" t="s">
        <v>237</v>
      </c>
      <c r="H30" s="11" t="s">
        <v>238</v>
      </c>
      <c r="I30" s="11" t="s">
        <v>239</v>
      </c>
    </row>
    <row r="31" customFormat="false" ht="35.05" hidden="false" customHeight="false" outlineLevel="0" collapsed="false">
      <c r="A31" s="4" t="s">
        <v>240</v>
      </c>
      <c r="B31" s="4" t="s">
        <v>191</v>
      </c>
      <c r="C31" s="4" t="s">
        <v>241</v>
      </c>
      <c r="D31" s="4" t="s">
        <v>242</v>
      </c>
      <c r="E31" s="10" t="s">
        <v>54</v>
      </c>
      <c r="F31" s="4" t="s">
        <v>243</v>
      </c>
      <c r="G31" s="4" t="s">
        <v>244</v>
      </c>
      <c r="H31" s="4" t="s">
        <v>245</v>
      </c>
      <c r="I31" s="4" t="s">
        <v>246</v>
      </c>
    </row>
    <row r="32" customFormat="false" ht="35.05" hidden="false" customHeight="false" outlineLevel="0" collapsed="false">
      <c r="A32" s="11" t="s">
        <v>247</v>
      </c>
      <c r="B32" s="11" t="s">
        <v>191</v>
      </c>
      <c r="C32" s="11" t="s">
        <v>248</v>
      </c>
      <c r="D32" s="11" t="s">
        <v>249</v>
      </c>
      <c r="E32" s="14" t="s">
        <v>69</v>
      </c>
      <c r="F32" s="11" t="s">
        <v>250</v>
      </c>
      <c r="G32" s="11" t="s">
        <v>251</v>
      </c>
      <c r="H32" s="11" t="s">
        <v>252</v>
      </c>
      <c r="I32" s="11" t="s">
        <v>253</v>
      </c>
    </row>
    <row r="33" customFormat="false" ht="23.85" hidden="false" customHeight="false" outlineLevel="0" collapsed="false">
      <c r="A33" s="4" t="s">
        <v>254</v>
      </c>
      <c r="B33" s="4" t="s">
        <v>191</v>
      </c>
      <c r="C33" s="4" t="s">
        <v>255</v>
      </c>
      <c r="D33" s="4" t="s">
        <v>256</v>
      </c>
      <c r="E33" s="13" t="s">
        <v>69</v>
      </c>
      <c r="F33" s="4" t="s">
        <v>257</v>
      </c>
      <c r="G33" s="4" t="s">
        <v>258</v>
      </c>
      <c r="H33" s="4" t="s">
        <v>259</v>
      </c>
      <c r="I33" s="4" t="s">
        <v>260</v>
      </c>
    </row>
    <row r="34" customFormat="false" ht="23.85" hidden="false" customHeight="false" outlineLevel="0" collapsed="false">
      <c r="A34" s="11" t="s">
        <v>261</v>
      </c>
      <c r="B34" s="11" t="s">
        <v>262</v>
      </c>
      <c r="C34" s="11" t="s">
        <v>263</v>
      </c>
      <c r="D34" s="11" t="s">
        <v>264</v>
      </c>
      <c r="E34" s="12" t="s">
        <v>54</v>
      </c>
      <c r="F34" s="11" t="s">
        <v>265</v>
      </c>
      <c r="G34" s="11" t="s">
        <v>266</v>
      </c>
      <c r="H34" s="11" t="s">
        <v>267</v>
      </c>
      <c r="I34" s="11" t="s">
        <v>268</v>
      </c>
    </row>
    <row r="35" customFormat="false" ht="23.85" hidden="false" customHeight="false" outlineLevel="0" collapsed="false">
      <c r="A35" s="4" t="s">
        <v>269</v>
      </c>
      <c r="B35" s="4" t="s">
        <v>262</v>
      </c>
      <c r="C35" s="4" t="s">
        <v>270</v>
      </c>
      <c r="D35" s="4" t="s">
        <v>271</v>
      </c>
      <c r="E35" s="13" t="s">
        <v>69</v>
      </c>
      <c r="F35" s="4" t="s">
        <v>272</v>
      </c>
      <c r="G35" s="4" t="s">
        <v>273</v>
      </c>
      <c r="H35" s="4" t="s">
        <v>274</v>
      </c>
      <c r="I35" s="4" t="s">
        <v>275</v>
      </c>
    </row>
    <row r="36" customFormat="false" ht="35.05" hidden="false" customHeight="false" outlineLevel="0" collapsed="false">
      <c r="A36" s="11" t="s">
        <v>276</v>
      </c>
      <c r="B36" s="11" t="s">
        <v>277</v>
      </c>
      <c r="C36" s="11" t="s">
        <v>278</v>
      </c>
      <c r="D36" s="11" t="s">
        <v>279</v>
      </c>
      <c r="E36" s="12" t="s">
        <v>54</v>
      </c>
      <c r="F36" s="11" t="s">
        <v>280</v>
      </c>
      <c r="G36" s="11" t="s">
        <v>281</v>
      </c>
      <c r="H36" s="11" t="s">
        <v>282</v>
      </c>
      <c r="I36" s="11" t="s">
        <v>283</v>
      </c>
    </row>
    <row r="37" customFormat="false" ht="23.85" hidden="false" customHeight="false" outlineLevel="0" collapsed="false">
      <c r="A37" s="4" t="s">
        <v>284</v>
      </c>
      <c r="B37" s="4" t="s">
        <v>277</v>
      </c>
      <c r="C37" s="4" t="s">
        <v>285</v>
      </c>
      <c r="D37" s="4" t="s">
        <v>286</v>
      </c>
      <c r="E37" s="13" t="s">
        <v>69</v>
      </c>
      <c r="F37" s="4" t="s">
        <v>287</v>
      </c>
      <c r="G37" s="4" t="s">
        <v>288</v>
      </c>
      <c r="H37" s="4" t="s">
        <v>289</v>
      </c>
      <c r="I37" s="4" t="s">
        <v>290</v>
      </c>
    </row>
  </sheetData>
  <autoFilter ref="A4:I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4" customFormat="false" ht="15" hidden="false" customHeight="false" outlineLevel="0" collapsed="false">
      <c r="A4" s="15" t="s">
        <v>293</v>
      </c>
      <c r="B4" s="16" t="s">
        <v>294</v>
      </c>
      <c r="D4" s="17" t="s">
        <v>295</v>
      </c>
    </row>
    <row r="5" customFormat="false" ht="19.7" hidden="false" customHeight="false" outlineLevel="0" collapsed="false">
      <c r="A5" s="15" t="s">
        <v>296</v>
      </c>
      <c r="B5" s="18" t="n">
        <f aca="false">COUNTA($A$12:$A$44)</f>
        <v>33</v>
      </c>
      <c r="D5" s="19" t="n">
        <f aca="false">IFERROR((B6+0.5*B7)/(B5-B9),0)</f>
        <v>0.0303030303030303</v>
      </c>
    </row>
    <row r="6" customFormat="false" ht="15" hidden="false" customHeight="false" outlineLevel="0" collapsed="false">
      <c r="A6" s="15" t="s">
        <v>27</v>
      </c>
      <c r="B6" s="18" t="n">
        <f aca="false">COUNTIF($H$12:$H$44,"Cumple")</f>
        <v>1</v>
      </c>
    </row>
    <row r="7" customFormat="false" ht="15" hidden="false" customHeight="false" outlineLevel="0" collapsed="false">
      <c r="A7" s="15" t="s">
        <v>28</v>
      </c>
      <c r="B7" s="18" t="n">
        <f aca="false">COUNTIF($H$12:$H$44,"Parcial")</f>
        <v>0</v>
      </c>
      <c r="D7" s="17" t="s">
        <v>33</v>
      </c>
    </row>
    <row r="8" customFormat="false" ht="19.7" hidden="false" customHeight="false" outlineLevel="0" collapsed="false">
      <c r="A8" s="15" t="s">
        <v>29</v>
      </c>
      <c r="B8" s="18" t="n">
        <f aca="false">COUNTIF($H$12:$H$44,"No cumple")</f>
        <v>0</v>
      </c>
      <c r="D8" s="20" t="n">
        <f aca="false">COUNTIFS($G$12:$G$44,"Obligatorio",$H$12:$H$44,"No cumple")</f>
        <v>0</v>
      </c>
    </row>
    <row r="9" customFormat="false" ht="15" hidden="false" customHeight="false" outlineLevel="0" collapsed="false">
      <c r="A9" s="15" t="s">
        <v>30</v>
      </c>
      <c r="B9" s="18" t="n">
        <f aca="false">COUNTIF($H$12:$H$44,"N.A.")</f>
        <v>0</v>
      </c>
    </row>
    <row r="10" customFormat="false" ht="15" hidden="false" customHeight="false" outlineLevel="0" collapsed="false">
      <c r="A10" s="15" t="s">
        <v>297</v>
      </c>
      <c r="B10" s="18" t="n">
        <f aca="false">B5-B6-B7-B8-B9</f>
        <v>32</v>
      </c>
    </row>
    <row r="11" customFormat="false" ht="15" hidden="false" customHeight="false" outlineLevel="0" collapsed="false">
      <c r="A11" s="5" t="s">
        <v>41</v>
      </c>
      <c r="B11" s="5" t="s">
        <v>42</v>
      </c>
      <c r="C11" s="5" t="s">
        <v>43</v>
      </c>
      <c r="D11" s="5" t="s">
        <v>298</v>
      </c>
      <c r="E11" s="5" t="s">
        <v>299</v>
      </c>
      <c r="F11" s="5" t="s">
        <v>300</v>
      </c>
      <c r="G11" s="5" t="s">
        <v>45</v>
      </c>
      <c r="H11" s="5" t="s">
        <v>301</v>
      </c>
      <c r="I11" s="5" t="s">
        <v>302</v>
      </c>
    </row>
    <row r="12" customFormat="false" ht="46.25" hidden="false" customHeight="false" outlineLevel="0" collapsed="false">
      <c r="A12" s="4" t="s">
        <v>50</v>
      </c>
      <c r="B12" s="4" t="s">
        <v>51</v>
      </c>
      <c r="C12" s="4" t="s">
        <v>52</v>
      </c>
      <c r="D12" s="4" t="s">
        <v>55</v>
      </c>
      <c r="E12" s="21" t="s">
        <v>303</v>
      </c>
      <c r="F12" s="4" t="s">
        <v>304</v>
      </c>
      <c r="G12" s="10" t="s">
        <v>54</v>
      </c>
      <c r="H12" s="22" t="s">
        <v>27</v>
      </c>
      <c r="I12" s="22" t="s">
        <v>305</v>
      </c>
    </row>
    <row r="13" customFormat="false" ht="23.85" hidden="false" customHeight="false" outlineLevel="0" collapsed="false">
      <c r="A13" s="4" t="s">
        <v>59</v>
      </c>
      <c r="B13" s="4" t="s">
        <v>51</v>
      </c>
      <c r="C13" s="4" t="s">
        <v>60</v>
      </c>
      <c r="D13" s="4" t="s">
        <v>62</v>
      </c>
      <c r="E13" s="21" t="s">
        <v>306</v>
      </c>
      <c r="F13" s="4" t="s">
        <v>307</v>
      </c>
      <c r="G13" s="10" t="s">
        <v>54</v>
      </c>
      <c r="H13" s="22"/>
      <c r="I13" s="22"/>
    </row>
    <row r="14" customFormat="false" ht="35.05" hidden="false" customHeight="false" outlineLevel="0" collapsed="false">
      <c r="A14" s="4" t="s">
        <v>66</v>
      </c>
      <c r="B14" s="4" t="s">
        <v>51</v>
      </c>
      <c r="C14" s="4" t="s">
        <v>67</v>
      </c>
      <c r="D14" s="4" t="s">
        <v>70</v>
      </c>
      <c r="E14" s="21" t="s">
        <v>308</v>
      </c>
      <c r="F14" s="4" t="s">
        <v>309</v>
      </c>
      <c r="G14" s="13" t="s">
        <v>69</v>
      </c>
      <c r="H14" s="22"/>
      <c r="I14" s="22"/>
    </row>
    <row r="15" customFormat="false" ht="23.85" hidden="false" customHeight="false" outlineLevel="0" collapsed="false">
      <c r="A15" s="4" t="s">
        <v>74</v>
      </c>
      <c r="B15" s="4" t="s">
        <v>51</v>
      </c>
      <c r="C15" s="4" t="s">
        <v>75</v>
      </c>
      <c r="D15" s="4" t="s">
        <v>77</v>
      </c>
      <c r="E15" s="21"/>
      <c r="F15" s="4" t="s">
        <v>310</v>
      </c>
      <c r="G15" s="10" t="s">
        <v>54</v>
      </c>
      <c r="H15" s="22"/>
      <c r="I15" s="22"/>
    </row>
    <row r="16" customFormat="false" ht="23.85" hidden="false" customHeight="false" outlineLevel="0" collapsed="false">
      <c r="A16" s="4" t="s">
        <v>81</v>
      </c>
      <c r="B16" s="4" t="s">
        <v>51</v>
      </c>
      <c r="C16" s="4" t="s">
        <v>82</v>
      </c>
      <c r="D16" s="4" t="s">
        <v>84</v>
      </c>
      <c r="E16" s="21"/>
      <c r="F16" s="4" t="s">
        <v>311</v>
      </c>
      <c r="G16" s="13" t="s">
        <v>69</v>
      </c>
      <c r="H16" s="22"/>
      <c r="I16" s="22"/>
    </row>
    <row r="17" customFormat="false" ht="35.05" hidden="false" customHeight="false" outlineLevel="0" collapsed="false">
      <c r="A17" s="4" t="s">
        <v>88</v>
      </c>
      <c r="B17" s="4" t="s">
        <v>89</v>
      </c>
      <c r="C17" s="4" t="s">
        <v>90</v>
      </c>
      <c r="D17" s="4" t="s">
        <v>92</v>
      </c>
      <c r="E17" s="21" t="s">
        <v>312</v>
      </c>
      <c r="F17" s="4" t="s">
        <v>313</v>
      </c>
      <c r="G17" s="10" t="s">
        <v>54</v>
      </c>
      <c r="H17" s="22"/>
      <c r="I17" s="22"/>
    </row>
    <row r="18" customFormat="false" ht="35.05" hidden="false" customHeight="false" outlineLevel="0" collapsed="false">
      <c r="A18" s="4" t="s">
        <v>96</v>
      </c>
      <c r="B18" s="4" t="s">
        <v>89</v>
      </c>
      <c r="C18" s="4" t="s">
        <v>97</v>
      </c>
      <c r="D18" s="4" t="s">
        <v>99</v>
      </c>
      <c r="E18" s="21"/>
      <c r="F18" s="4" t="s">
        <v>314</v>
      </c>
      <c r="G18" s="10" t="s">
        <v>54</v>
      </c>
      <c r="H18" s="22"/>
      <c r="I18" s="22"/>
    </row>
    <row r="19" customFormat="false" ht="23.85" hidden="false" customHeight="false" outlineLevel="0" collapsed="false">
      <c r="A19" s="4" t="s">
        <v>103</v>
      </c>
      <c r="B19" s="4" t="s">
        <v>89</v>
      </c>
      <c r="C19" s="4" t="s">
        <v>104</v>
      </c>
      <c r="D19" s="4" t="s">
        <v>106</v>
      </c>
      <c r="E19" s="21"/>
      <c r="F19" s="4" t="s">
        <v>315</v>
      </c>
      <c r="G19" s="10" t="s">
        <v>54</v>
      </c>
      <c r="H19" s="22"/>
      <c r="I19" s="22"/>
    </row>
    <row r="20" customFormat="false" ht="23.85" hidden="false" customHeight="false" outlineLevel="0" collapsed="false">
      <c r="A20" s="4" t="s">
        <v>110</v>
      </c>
      <c r="B20" s="4" t="s">
        <v>89</v>
      </c>
      <c r="C20" s="4" t="s">
        <v>111</v>
      </c>
      <c r="D20" s="4" t="s">
        <v>113</v>
      </c>
      <c r="E20" s="21"/>
      <c r="F20" s="4" t="s">
        <v>316</v>
      </c>
      <c r="G20" s="13" t="s">
        <v>69</v>
      </c>
      <c r="H20" s="22"/>
      <c r="I20" s="22"/>
    </row>
    <row r="21" customFormat="false" ht="23.85" hidden="false" customHeight="false" outlineLevel="0" collapsed="false">
      <c r="A21" s="4" t="s">
        <v>117</v>
      </c>
      <c r="B21" s="4" t="s">
        <v>89</v>
      </c>
      <c r="C21" s="4" t="s">
        <v>118</v>
      </c>
      <c r="D21" s="4" t="s">
        <v>120</v>
      </c>
      <c r="E21" s="21"/>
      <c r="F21" s="4" t="s">
        <v>317</v>
      </c>
      <c r="G21" s="13" t="s">
        <v>69</v>
      </c>
      <c r="H21" s="22"/>
      <c r="I21" s="22"/>
    </row>
    <row r="22" customFormat="false" ht="35.05" hidden="false" customHeight="false" outlineLevel="0" collapsed="false">
      <c r="A22" s="4" t="s">
        <v>124</v>
      </c>
      <c r="B22" s="4" t="s">
        <v>125</v>
      </c>
      <c r="C22" s="4" t="s">
        <v>126</v>
      </c>
      <c r="D22" s="4" t="s">
        <v>128</v>
      </c>
      <c r="E22" s="21" t="s">
        <v>318</v>
      </c>
      <c r="F22" s="4" t="s">
        <v>319</v>
      </c>
      <c r="G22" s="10" t="s">
        <v>54</v>
      </c>
      <c r="H22" s="22"/>
      <c r="I22" s="22"/>
    </row>
    <row r="23" customFormat="false" ht="35.05" hidden="false" customHeight="false" outlineLevel="0" collapsed="false">
      <c r="A23" s="4" t="s">
        <v>132</v>
      </c>
      <c r="B23" s="4" t="s">
        <v>125</v>
      </c>
      <c r="C23" s="4" t="s">
        <v>133</v>
      </c>
      <c r="D23" s="4" t="s">
        <v>135</v>
      </c>
      <c r="E23" s="21" t="s">
        <v>320</v>
      </c>
      <c r="F23" s="4" t="s">
        <v>321</v>
      </c>
      <c r="G23" s="10" t="s">
        <v>54</v>
      </c>
      <c r="H23" s="22"/>
      <c r="I23" s="22"/>
    </row>
    <row r="24" customFormat="false" ht="23.85" hidden="false" customHeight="false" outlineLevel="0" collapsed="false">
      <c r="A24" s="4" t="s">
        <v>139</v>
      </c>
      <c r="B24" s="4" t="s">
        <v>125</v>
      </c>
      <c r="C24" s="4" t="s">
        <v>140</v>
      </c>
      <c r="D24" s="4" t="s">
        <v>142</v>
      </c>
      <c r="E24" s="21"/>
      <c r="F24" s="4" t="s">
        <v>322</v>
      </c>
      <c r="G24" s="10" t="s">
        <v>54</v>
      </c>
      <c r="H24" s="22"/>
      <c r="I24" s="22"/>
    </row>
    <row r="25" customFormat="false" ht="23.85" hidden="false" customHeight="false" outlineLevel="0" collapsed="false">
      <c r="A25" s="4" t="s">
        <v>146</v>
      </c>
      <c r="B25" s="4" t="s">
        <v>125</v>
      </c>
      <c r="C25" s="4" t="s">
        <v>147</v>
      </c>
      <c r="D25" s="4" t="s">
        <v>149</v>
      </c>
      <c r="E25" s="21" t="s">
        <v>323</v>
      </c>
      <c r="F25" s="4" t="s">
        <v>324</v>
      </c>
      <c r="G25" s="13" t="s">
        <v>69</v>
      </c>
      <c r="H25" s="22"/>
      <c r="I25" s="22"/>
    </row>
    <row r="26" customFormat="false" ht="23.85" hidden="false" customHeight="false" outlineLevel="0" collapsed="false">
      <c r="A26" s="4" t="s">
        <v>153</v>
      </c>
      <c r="B26" s="4" t="s">
        <v>154</v>
      </c>
      <c r="C26" s="4" t="s">
        <v>155</v>
      </c>
      <c r="D26" s="4" t="s">
        <v>157</v>
      </c>
      <c r="E26" s="21" t="s">
        <v>325</v>
      </c>
      <c r="F26" s="4" t="s">
        <v>326</v>
      </c>
      <c r="G26" s="10" t="s">
        <v>54</v>
      </c>
      <c r="H26" s="22"/>
      <c r="I26" s="22"/>
    </row>
    <row r="27" customFormat="false" ht="35.05" hidden="false" customHeight="false" outlineLevel="0" collapsed="false">
      <c r="A27" s="4" t="s">
        <v>161</v>
      </c>
      <c r="B27" s="4" t="s">
        <v>154</v>
      </c>
      <c r="C27" s="4" t="s">
        <v>162</v>
      </c>
      <c r="D27" s="4" t="s">
        <v>164</v>
      </c>
      <c r="E27" s="21"/>
      <c r="F27" s="4" t="s">
        <v>327</v>
      </c>
      <c r="G27" s="10" t="s">
        <v>54</v>
      </c>
      <c r="H27" s="22"/>
      <c r="I27" s="22"/>
    </row>
    <row r="28" customFormat="false" ht="23.85" hidden="false" customHeight="false" outlineLevel="0" collapsed="false">
      <c r="A28" s="4" t="s">
        <v>168</v>
      </c>
      <c r="B28" s="4" t="s">
        <v>154</v>
      </c>
      <c r="C28" s="4" t="s">
        <v>169</v>
      </c>
      <c r="D28" s="4" t="s">
        <v>171</v>
      </c>
      <c r="E28" s="21"/>
      <c r="F28" s="4" t="s">
        <v>328</v>
      </c>
      <c r="G28" s="10" t="s">
        <v>54</v>
      </c>
      <c r="H28" s="22"/>
      <c r="I28" s="22"/>
    </row>
    <row r="29" customFormat="false" ht="35.05" hidden="false" customHeight="false" outlineLevel="0" collapsed="false">
      <c r="A29" s="4" t="s">
        <v>175</v>
      </c>
      <c r="B29" s="4" t="s">
        <v>176</v>
      </c>
      <c r="C29" s="4" t="s">
        <v>177</v>
      </c>
      <c r="D29" s="4" t="s">
        <v>179</v>
      </c>
      <c r="E29" s="21"/>
      <c r="F29" s="4" t="s">
        <v>329</v>
      </c>
      <c r="G29" s="10" t="s">
        <v>54</v>
      </c>
      <c r="H29" s="22"/>
      <c r="I29" s="22"/>
    </row>
    <row r="30" customFormat="false" ht="35.05" hidden="false" customHeight="false" outlineLevel="0" collapsed="false">
      <c r="A30" s="4" t="s">
        <v>183</v>
      </c>
      <c r="B30" s="4" t="s">
        <v>176</v>
      </c>
      <c r="C30" s="4" t="s">
        <v>184</v>
      </c>
      <c r="D30" s="4" t="s">
        <v>186</v>
      </c>
      <c r="E30" s="21"/>
      <c r="F30" s="4" t="s">
        <v>330</v>
      </c>
      <c r="G30" s="10" t="s">
        <v>54</v>
      </c>
      <c r="H30" s="22"/>
      <c r="I30" s="22"/>
    </row>
    <row r="31" customFormat="false" ht="35.05" hidden="false" customHeight="false" outlineLevel="0" collapsed="false">
      <c r="A31" s="4" t="s">
        <v>190</v>
      </c>
      <c r="B31" s="4" t="s">
        <v>191</v>
      </c>
      <c r="C31" s="4" t="s">
        <v>192</v>
      </c>
      <c r="D31" s="4" t="s">
        <v>194</v>
      </c>
      <c r="E31" s="21"/>
      <c r="F31" s="4" t="s">
        <v>331</v>
      </c>
      <c r="G31" s="10" t="s">
        <v>54</v>
      </c>
      <c r="H31" s="22"/>
      <c r="I31" s="22"/>
    </row>
    <row r="32" customFormat="false" ht="23.85" hidden="false" customHeight="false" outlineLevel="0" collapsed="false">
      <c r="A32" s="4" t="s">
        <v>198</v>
      </c>
      <c r="B32" s="4" t="s">
        <v>191</v>
      </c>
      <c r="C32" s="4" t="s">
        <v>199</v>
      </c>
      <c r="D32" s="4" t="s">
        <v>201</v>
      </c>
      <c r="E32" s="21" t="s">
        <v>332</v>
      </c>
      <c r="F32" s="4" t="s">
        <v>333</v>
      </c>
      <c r="G32" s="10" t="s">
        <v>54</v>
      </c>
      <c r="H32" s="22"/>
      <c r="I32" s="22"/>
    </row>
    <row r="33" customFormat="false" ht="35.05" hidden="false" customHeight="false" outlineLevel="0" collapsed="false">
      <c r="A33" s="4" t="s">
        <v>205</v>
      </c>
      <c r="B33" s="4" t="s">
        <v>191</v>
      </c>
      <c r="C33" s="4" t="s">
        <v>206</v>
      </c>
      <c r="D33" s="4" t="s">
        <v>208</v>
      </c>
      <c r="E33" s="21"/>
      <c r="F33" s="4" t="s">
        <v>334</v>
      </c>
      <c r="G33" s="10" t="s">
        <v>54</v>
      </c>
      <c r="H33" s="22"/>
      <c r="I33" s="22"/>
    </row>
    <row r="34" customFormat="false" ht="23.85" hidden="false" customHeight="false" outlineLevel="0" collapsed="false">
      <c r="A34" s="4" t="s">
        <v>212</v>
      </c>
      <c r="B34" s="4" t="s">
        <v>191</v>
      </c>
      <c r="C34" s="4" t="s">
        <v>213</v>
      </c>
      <c r="D34" s="4" t="s">
        <v>215</v>
      </c>
      <c r="E34" s="21"/>
      <c r="F34" s="4" t="s">
        <v>335</v>
      </c>
      <c r="G34" s="13" t="s">
        <v>69</v>
      </c>
      <c r="H34" s="22"/>
      <c r="I34" s="22"/>
    </row>
    <row r="35" customFormat="false" ht="23.85" hidden="false" customHeight="false" outlineLevel="0" collapsed="false">
      <c r="A35" s="4" t="s">
        <v>219</v>
      </c>
      <c r="B35" s="4" t="s">
        <v>191</v>
      </c>
      <c r="C35" s="4" t="s">
        <v>220</v>
      </c>
      <c r="D35" s="4" t="s">
        <v>222</v>
      </c>
      <c r="E35" s="21" t="s">
        <v>336</v>
      </c>
      <c r="F35" s="4" t="s">
        <v>337</v>
      </c>
      <c r="G35" s="13" t="s">
        <v>69</v>
      </c>
      <c r="H35" s="22"/>
      <c r="I35" s="22"/>
    </row>
    <row r="36" customFormat="false" ht="23.85" hidden="false" customHeight="false" outlineLevel="0" collapsed="false">
      <c r="A36" s="4" t="s">
        <v>226</v>
      </c>
      <c r="B36" s="4" t="s">
        <v>191</v>
      </c>
      <c r="C36" s="4" t="s">
        <v>227</v>
      </c>
      <c r="D36" s="4" t="s">
        <v>229</v>
      </c>
      <c r="E36" s="21" t="s">
        <v>338</v>
      </c>
      <c r="F36" s="4" t="s">
        <v>339</v>
      </c>
      <c r="G36" s="10" t="s">
        <v>54</v>
      </c>
      <c r="H36" s="22"/>
      <c r="I36" s="22"/>
    </row>
    <row r="37" customFormat="false" ht="23.85" hidden="false" customHeight="false" outlineLevel="0" collapsed="false">
      <c r="A37" s="4" t="s">
        <v>233</v>
      </c>
      <c r="B37" s="4" t="s">
        <v>191</v>
      </c>
      <c r="C37" s="4" t="s">
        <v>234</v>
      </c>
      <c r="D37" s="4" t="s">
        <v>236</v>
      </c>
      <c r="E37" s="21" t="s">
        <v>340</v>
      </c>
      <c r="F37" s="4" t="s">
        <v>341</v>
      </c>
      <c r="G37" s="10" t="s">
        <v>54</v>
      </c>
      <c r="H37" s="22"/>
      <c r="I37" s="22"/>
    </row>
    <row r="38" customFormat="false" ht="35.05" hidden="false" customHeight="false" outlineLevel="0" collapsed="false">
      <c r="A38" s="4" t="s">
        <v>240</v>
      </c>
      <c r="B38" s="4" t="s">
        <v>191</v>
      </c>
      <c r="C38" s="4" t="s">
        <v>241</v>
      </c>
      <c r="D38" s="4" t="s">
        <v>243</v>
      </c>
      <c r="E38" s="21"/>
      <c r="F38" s="4" t="s">
        <v>342</v>
      </c>
      <c r="G38" s="10" t="s">
        <v>54</v>
      </c>
      <c r="H38" s="22"/>
      <c r="I38" s="22"/>
    </row>
    <row r="39" customFormat="false" ht="35.05" hidden="false" customHeight="false" outlineLevel="0" collapsed="false">
      <c r="A39" s="4" t="s">
        <v>247</v>
      </c>
      <c r="B39" s="4" t="s">
        <v>191</v>
      </c>
      <c r="C39" s="4" t="s">
        <v>248</v>
      </c>
      <c r="D39" s="4" t="s">
        <v>250</v>
      </c>
      <c r="E39" s="21"/>
      <c r="F39" s="4" t="s">
        <v>343</v>
      </c>
      <c r="G39" s="13" t="s">
        <v>69</v>
      </c>
      <c r="H39" s="22"/>
      <c r="I39" s="22"/>
    </row>
    <row r="40" customFormat="false" ht="23.85" hidden="false" customHeight="false" outlineLevel="0" collapsed="false">
      <c r="A40" s="4" t="s">
        <v>254</v>
      </c>
      <c r="B40" s="4" t="s">
        <v>191</v>
      </c>
      <c r="C40" s="4" t="s">
        <v>255</v>
      </c>
      <c r="D40" s="4" t="s">
        <v>257</v>
      </c>
      <c r="E40" s="21"/>
      <c r="F40" s="4" t="s">
        <v>344</v>
      </c>
      <c r="G40" s="13" t="s">
        <v>69</v>
      </c>
      <c r="H40" s="22"/>
      <c r="I40" s="22"/>
    </row>
    <row r="41" customFormat="false" ht="23.85" hidden="false" customHeight="false" outlineLevel="0" collapsed="false">
      <c r="A41" s="4" t="s">
        <v>261</v>
      </c>
      <c r="B41" s="4" t="s">
        <v>262</v>
      </c>
      <c r="C41" s="4" t="s">
        <v>263</v>
      </c>
      <c r="D41" s="4" t="s">
        <v>265</v>
      </c>
      <c r="E41" s="21"/>
      <c r="F41" s="4" t="s">
        <v>345</v>
      </c>
      <c r="G41" s="10" t="s">
        <v>54</v>
      </c>
      <c r="H41" s="22"/>
      <c r="I41" s="22"/>
    </row>
    <row r="42" customFormat="false" ht="23.85" hidden="false" customHeight="false" outlineLevel="0" collapsed="false">
      <c r="A42" s="4" t="s">
        <v>269</v>
      </c>
      <c r="B42" s="4" t="s">
        <v>262</v>
      </c>
      <c r="C42" s="4" t="s">
        <v>270</v>
      </c>
      <c r="D42" s="4" t="s">
        <v>272</v>
      </c>
      <c r="E42" s="21"/>
      <c r="F42" s="4" t="s">
        <v>346</v>
      </c>
      <c r="G42" s="13" t="s">
        <v>69</v>
      </c>
      <c r="H42" s="22"/>
      <c r="I42" s="22"/>
    </row>
    <row r="43" customFormat="false" ht="23.85" hidden="false" customHeight="false" outlineLevel="0" collapsed="false">
      <c r="A43" s="4" t="s">
        <v>276</v>
      </c>
      <c r="B43" s="4" t="s">
        <v>277</v>
      </c>
      <c r="C43" s="4" t="s">
        <v>278</v>
      </c>
      <c r="D43" s="4" t="s">
        <v>280</v>
      </c>
      <c r="E43" s="21"/>
      <c r="F43" s="4" t="s">
        <v>347</v>
      </c>
      <c r="G43" s="10" t="s">
        <v>54</v>
      </c>
      <c r="H43" s="22"/>
      <c r="I43" s="22"/>
    </row>
    <row r="44" customFormat="false" ht="23.85" hidden="false" customHeight="false" outlineLevel="0" collapsed="false">
      <c r="A44" s="4" t="s">
        <v>284</v>
      </c>
      <c r="B44" s="4" t="s">
        <v>277</v>
      </c>
      <c r="C44" s="4" t="s">
        <v>285</v>
      </c>
      <c r="D44" s="4" t="s">
        <v>287</v>
      </c>
      <c r="E44" s="21"/>
      <c r="F44" s="4" t="s">
        <v>348</v>
      </c>
      <c r="G44" s="13" t="s">
        <v>69</v>
      </c>
      <c r="H44" s="22"/>
      <c r="I44" s="22"/>
    </row>
  </sheetData>
  <autoFilter ref="A11:I44"/>
  <conditionalFormatting sqref="H12:H44">
    <cfRule type="cellIs" priority="2" operator="equal" aboveAverage="0" equalAverage="0" bottom="0" percent="0" rank="0" text="" dxfId="9">
      <formula>"Cumple"</formula>
    </cfRule>
    <cfRule type="cellIs" priority="3" operator="equal" aboveAverage="0" equalAverage="0" bottom="0" percent="0" rank="0" text="" dxfId="10">
      <formula>"Parcial"</formula>
    </cfRule>
    <cfRule type="cellIs" priority="4" operator="equal" aboveAverage="0" equalAverage="0" bottom="0" percent="0" rank="0" text="" dxfId="11">
      <formula>"No cumple"</formula>
    </cfRule>
    <cfRule type="cellIs" priority="5" operator="equal" aboveAverage="0" equalAverage="0" bottom="0" percent="0" rank="0" text="" dxfId="12">
      <formula>"N.A."</formula>
    </cfRule>
  </conditionalFormatting>
  <dataValidations count="1">
    <dataValidation allowBlank="true" error="Elige un valor de la lista" errorStyle="stop" operator="between" prompt="Cumple / Parcial / No cumple / N.A." showDropDown="false" showErrorMessage="false" showInputMessage="false" sqref="H12:H44" type="list">
      <formula1>"Cumple,Parcial,No cumple,N.A."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349</v>
      </c>
    </row>
    <row r="2" customFormat="false" ht="15" hidden="false" customHeight="false" outlineLevel="0" collapsed="false">
      <c r="A2" s="2" t="s">
        <v>350</v>
      </c>
    </row>
    <row r="4" customFormat="false" ht="15" hidden="false" customHeight="false" outlineLevel="0" collapsed="false">
      <c r="A4" s="15" t="s">
        <v>293</v>
      </c>
      <c r="B4" s="16"/>
      <c r="D4" s="17" t="s">
        <v>295</v>
      </c>
    </row>
    <row r="5" customFormat="false" ht="19.7" hidden="false" customHeight="false" outlineLevel="0" collapsed="false">
      <c r="A5" s="15" t="s">
        <v>296</v>
      </c>
      <c r="B5" s="18" t="n">
        <f aca="false">COUNTA($A$12:$A$44)</f>
        <v>33</v>
      </c>
      <c r="D5" s="19" t="n">
        <f aca="false">IFERROR((B6+0.5*B7)/(B5-B9),0)</f>
        <v>0</v>
      </c>
    </row>
    <row r="6" customFormat="false" ht="15" hidden="false" customHeight="false" outlineLevel="0" collapsed="false">
      <c r="A6" s="15" t="s">
        <v>27</v>
      </c>
      <c r="B6" s="18" t="n">
        <f aca="false">COUNTIF($H$12:$H$44,"Cumple")</f>
        <v>0</v>
      </c>
    </row>
    <row r="7" customFormat="false" ht="15" hidden="false" customHeight="false" outlineLevel="0" collapsed="false">
      <c r="A7" s="15" t="s">
        <v>28</v>
      </c>
      <c r="B7" s="18" t="n">
        <f aca="false">COUNTIF($H$12:$H$44,"Parcial")</f>
        <v>0</v>
      </c>
      <c r="D7" s="17" t="s">
        <v>33</v>
      </c>
    </row>
    <row r="8" customFormat="false" ht="19.7" hidden="false" customHeight="false" outlineLevel="0" collapsed="false">
      <c r="A8" s="15" t="s">
        <v>29</v>
      </c>
      <c r="B8" s="18" t="n">
        <f aca="false">COUNTIF($H$12:$H$44,"No cumple")</f>
        <v>0</v>
      </c>
      <c r="D8" s="20" t="n">
        <f aca="false">COUNTIFS($G$12:$G$44,"Obligatorio",$H$12:$H$44,"No cumple")</f>
        <v>0</v>
      </c>
    </row>
    <row r="9" customFormat="false" ht="15" hidden="false" customHeight="false" outlineLevel="0" collapsed="false">
      <c r="A9" s="15" t="s">
        <v>30</v>
      </c>
      <c r="B9" s="18" t="n">
        <f aca="false">COUNTIF($H$12:$H$44,"N.A.")</f>
        <v>0</v>
      </c>
    </row>
    <row r="10" customFormat="false" ht="15" hidden="false" customHeight="false" outlineLevel="0" collapsed="false">
      <c r="A10" s="15" t="s">
        <v>297</v>
      </c>
      <c r="B10" s="18" t="n">
        <f aca="false">B5-B6-B7-B8-B9</f>
        <v>33</v>
      </c>
    </row>
    <row r="11" customFormat="false" ht="15" hidden="false" customHeight="false" outlineLevel="0" collapsed="false">
      <c r="A11" s="5" t="s">
        <v>41</v>
      </c>
      <c r="B11" s="5" t="s">
        <v>42</v>
      </c>
      <c r="C11" s="5" t="s">
        <v>43</v>
      </c>
      <c r="D11" s="5" t="s">
        <v>298</v>
      </c>
      <c r="E11" s="5" t="s">
        <v>299</v>
      </c>
      <c r="F11" s="5" t="s">
        <v>300</v>
      </c>
      <c r="G11" s="5" t="s">
        <v>45</v>
      </c>
      <c r="H11" s="5" t="s">
        <v>301</v>
      </c>
      <c r="I11" s="5" t="s">
        <v>302</v>
      </c>
    </row>
    <row r="12" customFormat="false" ht="35.05" hidden="false" customHeight="false" outlineLevel="0" collapsed="false">
      <c r="A12" s="4" t="s">
        <v>50</v>
      </c>
      <c r="B12" s="4" t="s">
        <v>51</v>
      </c>
      <c r="C12" s="4" t="s">
        <v>52</v>
      </c>
      <c r="D12" s="4" t="s">
        <v>56</v>
      </c>
      <c r="E12" s="21" t="s">
        <v>351</v>
      </c>
      <c r="F12" s="4" t="s">
        <v>304</v>
      </c>
      <c r="G12" s="10" t="s">
        <v>54</v>
      </c>
      <c r="H12" s="22"/>
      <c r="I12" s="22"/>
    </row>
    <row r="13" customFormat="false" ht="35.05" hidden="false" customHeight="false" outlineLevel="0" collapsed="false">
      <c r="A13" s="4" t="s">
        <v>59</v>
      </c>
      <c r="B13" s="4" t="s">
        <v>51</v>
      </c>
      <c r="C13" s="4" t="s">
        <v>60</v>
      </c>
      <c r="D13" s="4" t="s">
        <v>63</v>
      </c>
      <c r="E13" s="21" t="s">
        <v>352</v>
      </c>
      <c r="F13" s="4" t="s">
        <v>307</v>
      </c>
      <c r="G13" s="10" t="s">
        <v>54</v>
      </c>
      <c r="H13" s="22"/>
      <c r="I13" s="22"/>
    </row>
    <row r="14" customFormat="false" ht="35.05" hidden="false" customHeight="false" outlineLevel="0" collapsed="false">
      <c r="A14" s="4" t="s">
        <v>66</v>
      </c>
      <c r="B14" s="4" t="s">
        <v>51</v>
      </c>
      <c r="C14" s="4" t="s">
        <v>67</v>
      </c>
      <c r="D14" s="4" t="s">
        <v>71</v>
      </c>
      <c r="E14" s="21" t="s">
        <v>353</v>
      </c>
      <c r="F14" s="4" t="s">
        <v>309</v>
      </c>
      <c r="G14" s="13" t="s">
        <v>69</v>
      </c>
      <c r="H14" s="22"/>
      <c r="I14" s="22"/>
    </row>
    <row r="15" customFormat="false" ht="23.85" hidden="false" customHeight="false" outlineLevel="0" collapsed="false">
      <c r="A15" s="4" t="s">
        <v>74</v>
      </c>
      <c r="B15" s="4" t="s">
        <v>51</v>
      </c>
      <c r="C15" s="4" t="s">
        <v>75</v>
      </c>
      <c r="D15" s="4" t="s">
        <v>78</v>
      </c>
      <c r="E15" s="21" t="s">
        <v>354</v>
      </c>
      <c r="F15" s="4" t="s">
        <v>310</v>
      </c>
      <c r="G15" s="10" t="s">
        <v>54</v>
      </c>
      <c r="H15" s="22"/>
      <c r="I15" s="22"/>
    </row>
    <row r="16" customFormat="false" ht="23.85" hidden="false" customHeight="false" outlineLevel="0" collapsed="false">
      <c r="A16" s="4" t="s">
        <v>81</v>
      </c>
      <c r="B16" s="4" t="s">
        <v>51</v>
      </c>
      <c r="C16" s="4" t="s">
        <v>82</v>
      </c>
      <c r="D16" s="4" t="s">
        <v>85</v>
      </c>
      <c r="E16" s="21" t="s">
        <v>355</v>
      </c>
      <c r="F16" s="4" t="s">
        <v>311</v>
      </c>
      <c r="G16" s="13" t="s">
        <v>69</v>
      </c>
      <c r="H16" s="22"/>
      <c r="I16" s="22"/>
    </row>
    <row r="17" customFormat="false" ht="35.05" hidden="false" customHeight="false" outlineLevel="0" collapsed="false">
      <c r="A17" s="4" t="s">
        <v>88</v>
      </c>
      <c r="B17" s="4" t="s">
        <v>89</v>
      </c>
      <c r="C17" s="4" t="s">
        <v>90</v>
      </c>
      <c r="D17" s="4" t="s">
        <v>93</v>
      </c>
      <c r="E17" s="21" t="s">
        <v>356</v>
      </c>
      <c r="F17" s="4" t="s">
        <v>313</v>
      </c>
      <c r="G17" s="10" t="s">
        <v>54</v>
      </c>
      <c r="H17" s="22"/>
      <c r="I17" s="22"/>
    </row>
    <row r="18" customFormat="false" ht="35.05" hidden="false" customHeight="false" outlineLevel="0" collapsed="false">
      <c r="A18" s="4" t="s">
        <v>96</v>
      </c>
      <c r="B18" s="4" t="s">
        <v>89</v>
      </c>
      <c r="C18" s="4" t="s">
        <v>97</v>
      </c>
      <c r="D18" s="4" t="s">
        <v>100</v>
      </c>
      <c r="E18" s="21" t="s">
        <v>357</v>
      </c>
      <c r="F18" s="4" t="s">
        <v>314</v>
      </c>
      <c r="G18" s="10" t="s">
        <v>54</v>
      </c>
      <c r="H18" s="22"/>
      <c r="I18" s="22"/>
    </row>
    <row r="19" customFormat="false" ht="23.85" hidden="false" customHeight="false" outlineLevel="0" collapsed="false">
      <c r="A19" s="4" t="s">
        <v>103</v>
      </c>
      <c r="B19" s="4" t="s">
        <v>89</v>
      </c>
      <c r="C19" s="4" t="s">
        <v>104</v>
      </c>
      <c r="D19" s="4" t="s">
        <v>107</v>
      </c>
      <c r="E19" s="21" t="s">
        <v>358</v>
      </c>
      <c r="F19" s="4" t="s">
        <v>315</v>
      </c>
      <c r="G19" s="10" t="s">
        <v>54</v>
      </c>
      <c r="H19" s="22"/>
      <c r="I19" s="22"/>
    </row>
    <row r="20" customFormat="false" ht="23.85" hidden="false" customHeight="false" outlineLevel="0" collapsed="false">
      <c r="A20" s="4" t="s">
        <v>110</v>
      </c>
      <c r="B20" s="4" t="s">
        <v>89</v>
      </c>
      <c r="C20" s="4" t="s">
        <v>111</v>
      </c>
      <c r="D20" s="4" t="s">
        <v>114</v>
      </c>
      <c r="E20" s="21" t="s">
        <v>359</v>
      </c>
      <c r="F20" s="4" t="s">
        <v>316</v>
      </c>
      <c r="G20" s="13" t="s">
        <v>69</v>
      </c>
      <c r="H20" s="22"/>
      <c r="I20" s="22"/>
    </row>
    <row r="21" customFormat="false" ht="23.85" hidden="false" customHeight="false" outlineLevel="0" collapsed="false">
      <c r="A21" s="4" t="s">
        <v>117</v>
      </c>
      <c r="B21" s="4" t="s">
        <v>89</v>
      </c>
      <c r="C21" s="4" t="s">
        <v>118</v>
      </c>
      <c r="D21" s="4" t="s">
        <v>121</v>
      </c>
      <c r="E21" s="21" t="s">
        <v>360</v>
      </c>
      <c r="F21" s="4" t="s">
        <v>317</v>
      </c>
      <c r="G21" s="13" t="s">
        <v>69</v>
      </c>
      <c r="H21" s="22"/>
      <c r="I21" s="22"/>
    </row>
    <row r="22" customFormat="false" ht="35.05" hidden="false" customHeight="false" outlineLevel="0" collapsed="false">
      <c r="A22" s="4" t="s">
        <v>124</v>
      </c>
      <c r="B22" s="4" t="s">
        <v>125</v>
      </c>
      <c r="C22" s="4" t="s">
        <v>126</v>
      </c>
      <c r="D22" s="4" t="s">
        <v>129</v>
      </c>
      <c r="E22" s="21" t="s">
        <v>361</v>
      </c>
      <c r="F22" s="4" t="s">
        <v>319</v>
      </c>
      <c r="G22" s="10" t="s">
        <v>54</v>
      </c>
      <c r="H22" s="22"/>
      <c r="I22" s="22"/>
    </row>
    <row r="23" customFormat="false" ht="35.05" hidden="false" customHeight="false" outlineLevel="0" collapsed="false">
      <c r="A23" s="4" t="s">
        <v>132</v>
      </c>
      <c r="B23" s="4" t="s">
        <v>125</v>
      </c>
      <c r="C23" s="4" t="s">
        <v>133</v>
      </c>
      <c r="D23" s="4" t="s">
        <v>136</v>
      </c>
      <c r="E23" s="21" t="s">
        <v>362</v>
      </c>
      <c r="F23" s="4" t="s">
        <v>321</v>
      </c>
      <c r="G23" s="10" t="s">
        <v>54</v>
      </c>
      <c r="H23" s="22"/>
      <c r="I23" s="22"/>
    </row>
    <row r="24" customFormat="false" ht="32.8" hidden="false" customHeight="false" outlineLevel="0" collapsed="false">
      <c r="A24" s="4" t="s">
        <v>139</v>
      </c>
      <c r="B24" s="4" t="s">
        <v>125</v>
      </c>
      <c r="C24" s="4" t="s">
        <v>140</v>
      </c>
      <c r="D24" s="4" t="s">
        <v>143</v>
      </c>
      <c r="E24" s="21" t="s">
        <v>363</v>
      </c>
      <c r="F24" s="4" t="s">
        <v>322</v>
      </c>
      <c r="G24" s="10" t="s">
        <v>54</v>
      </c>
      <c r="H24" s="22"/>
      <c r="I24" s="22"/>
    </row>
    <row r="25" customFormat="false" ht="23.85" hidden="false" customHeight="false" outlineLevel="0" collapsed="false">
      <c r="A25" s="4" t="s">
        <v>146</v>
      </c>
      <c r="B25" s="4" t="s">
        <v>125</v>
      </c>
      <c r="C25" s="4" t="s">
        <v>147</v>
      </c>
      <c r="D25" s="4" t="s">
        <v>150</v>
      </c>
      <c r="E25" s="21" t="s">
        <v>364</v>
      </c>
      <c r="F25" s="4" t="s">
        <v>324</v>
      </c>
      <c r="G25" s="13" t="s">
        <v>69</v>
      </c>
      <c r="H25" s="22"/>
      <c r="I25" s="22"/>
    </row>
    <row r="26" customFormat="false" ht="23.85" hidden="false" customHeight="false" outlineLevel="0" collapsed="false">
      <c r="A26" s="4" t="s">
        <v>153</v>
      </c>
      <c r="B26" s="4" t="s">
        <v>154</v>
      </c>
      <c r="C26" s="4" t="s">
        <v>155</v>
      </c>
      <c r="D26" s="4" t="s">
        <v>158</v>
      </c>
      <c r="E26" s="21" t="s">
        <v>365</v>
      </c>
      <c r="F26" s="4" t="s">
        <v>326</v>
      </c>
      <c r="G26" s="10" t="s">
        <v>54</v>
      </c>
      <c r="H26" s="22"/>
      <c r="I26" s="22"/>
    </row>
    <row r="27" customFormat="false" ht="35.05" hidden="false" customHeight="false" outlineLevel="0" collapsed="false">
      <c r="A27" s="4" t="s">
        <v>161</v>
      </c>
      <c r="B27" s="4" t="s">
        <v>154</v>
      </c>
      <c r="C27" s="4" t="s">
        <v>162</v>
      </c>
      <c r="D27" s="4" t="s">
        <v>165</v>
      </c>
      <c r="E27" s="21"/>
      <c r="F27" s="4" t="s">
        <v>327</v>
      </c>
      <c r="G27" s="10" t="s">
        <v>54</v>
      </c>
      <c r="H27" s="22"/>
      <c r="I27" s="22"/>
    </row>
    <row r="28" customFormat="false" ht="23.85" hidden="false" customHeight="false" outlineLevel="0" collapsed="false">
      <c r="A28" s="4" t="s">
        <v>168</v>
      </c>
      <c r="B28" s="4" t="s">
        <v>154</v>
      </c>
      <c r="C28" s="4" t="s">
        <v>169</v>
      </c>
      <c r="D28" s="4" t="s">
        <v>172</v>
      </c>
      <c r="E28" s="21" t="s">
        <v>366</v>
      </c>
      <c r="F28" s="4" t="s">
        <v>328</v>
      </c>
      <c r="G28" s="10" t="s">
        <v>54</v>
      </c>
      <c r="H28" s="22"/>
      <c r="I28" s="22"/>
    </row>
    <row r="29" customFormat="false" ht="35.05" hidden="false" customHeight="false" outlineLevel="0" collapsed="false">
      <c r="A29" s="4" t="s">
        <v>175</v>
      </c>
      <c r="B29" s="4" t="s">
        <v>176</v>
      </c>
      <c r="C29" s="4" t="s">
        <v>177</v>
      </c>
      <c r="D29" s="4" t="s">
        <v>180</v>
      </c>
      <c r="E29" s="21" t="s">
        <v>367</v>
      </c>
      <c r="F29" s="4" t="s">
        <v>329</v>
      </c>
      <c r="G29" s="10" t="s">
        <v>54</v>
      </c>
      <c r="H29" s="22"/>
      <c r="I29" s="22"/>
    </row>
    <row r="30" customFormat="false" ht="35.05" hidden="false" customHeight="false" outlineLevel="0" collapsed="false">
      <c r="A30" s="4" t="s">
        <v>183</v>
      </c>
      <c r="B30" s="4" t="s">
        <v>176</v>
      </c>
      <c r="C30" s="4" t="s">
        <v>184</v>
      </c>
      <c r="D30" s="4" t="s">
        <v>187</v>
      </c>
      <c r="E30" s="21" t="s">
        <v>368</v>
      </c>
      <c r="F30" s="4" t="s">
        <v>330</v>
      </c>
      <c r="G30" s="10" t="s">
        <v>54</v>
      </c>
      <c r="H30" s="22"/>
      <c r="I30" s="22"/>
    </row>
    <row r="31" customFormat="false" ht="35.05" hidden="false" customHeight="false" outlineLevel="0" collapsed="false">
      <c r="A31" s="4" t="s">
        <v>190</v>
      </c>
      <c r="B31" s="4" t="s">
        <v>191</v>
      </c>
      <c r="C31" s="4" t="s">
        <v>192</v>
      </c>
      <c r="D31" s="4" t="s">
        <v>195</v>
      </c>
      <c r="E31" s="21"/>
      <c r="F31" s="4" t="s">
        <v>331</v>
      </c>
      <c r="G31" s="10" t="s">
        <v>54</v>
      </c>
      <c r="H31" s="22"/>
      <c r="I31" s="22"/>
    </row>
    <row r="32" customFormat="false" ht="23.85" hidden="false" customHeight="false" outlineLevel="0" collapsed="false">
      <c r="A32" s="4" t="s">
        <v>198</v>
      </c>
      <c r="B32" s="4" t="s">
        <v>191</v>
      </c>
      <c r="C32" s="4" t="s">
        <v>199</v>
      </c>
      <c r="D32" s="4" t="s">
        <v>202</v>
      </c>
      <c r="E32" s="21"/>
      <c r="F32" s="4" t="s">
        <v>333</v>
      </c>
      <c r="G32" s="10" t="s">
        <v>54</v>
      </c>
      <c r="H32" s="22"/>
      <c r="I32" s="22"/>
    </row>
    <row r="33" customFormat="false" ht="35.05" hidden="false" customHeight="false" outlineLevel="0" collapsed="false">
      <c r="A33" s="4" t="s">
        <v>205</v>
      </c>
      <c r="B33" s="4" t="s">
        <v>191</v>
      </c>
      <c r="C33" s="4" t="s">
        <v>206</v>
      </c>
      <c r="D33" s="4" t="s">
        <v>209</v>
      </c>
      <c r="E33" s="21"/>
      <c r="F33" s="4" t="s">
        <v>334</v>
      </c>
      <c r="G33" s="10" t="s">
        <v>54</v>
      </c>
      <c r="H33" s="22"/>
      <c r="I33" s="22"/>
    </row>
    <row r="34" customFormat="false" ht="23.85" hidden="false" customHeight="false" outlineLevel="0" collapsed="false">
      <c r="A34" s="4" t="s">
        <v>212</v>
      </c>
      <c r="B34" s="4" t="s">
        <v>191</v>
      </c>
      <c r="C34" s="4" t="s">
        <v>213</v>
      </c>
      <c r="D34" s="4" t="s">
        <v>216</v>
      </c>
      <c r="E34" s="21" t="s">
        <v>369</v>
      </c>
      <c r="F34" s="4" t="s">
        <v>335</v>
      </c>
      <c r="G34" s="13" t="s">
        <v>69</v>
      </c>
      <c r="H34" s="22"/>
      <c r="I34" s="22"/>
    </row>
    <row r="35" customFormat="false" ht="23.85" hidden="false" customHeight="false" outlineLevel="0" collapsed="false">
      <c r="A35" s="4" t="s">
        <v>219</v>
      </c>
      <c r="B35" s="4" t="s">
        <v>191</v>
      </c>
      <c r="C35" s="4" t="s">
        <v>220</v>
      </c>
      <c r="D35" s="4" t="s">
        <v>223</v>
      </c>
      <c r="E35" s="21"/>
      <c r="F35" s="4" t="s">
        <v>337</v>
      </c>
      <c r="G35" s="13" t="s">
        <v>69</v>
      </c>
      <c r="H35" s="22"/>
      <c r="I35" s="22"/>
    </row>
    <row r="36" customFormat="false" ht="23.85" hidden="false" customHeight="false" outlineLevel="0" collapsed="false">
      <c r="A36" s="4" t="s">
        <v>226</v>
      </c>
      <c r="B36" s="4" t="s">
        <v>191</v>
      </c>
      <c r="C36" s="4" t="s">
        <v>227</v>
      </c>
      <c r="D36" s="4" t="s">
        <v>230</v>
      </c>
      <c r="E36" s="21"/>
      <c r="F36" s="4" t="s">
        <v>339</v>
      </c>
      <c r="G36" s="10" t="s">
        <v>54</v>
      </c>
      <c r="H36" s="22"/>
      <c r="I36" s="22"/>
    </row>
    <row r="37" customFormat="false" ht="23.85" hidden="false" customHeight="false" outlineLevel="0" collapsed="false">
      <c r="A37" s="4" t="s">
        <v>233</v>
      </c>
      <c r="B37" s="4" t="s">
        <v>191</v>
      </c>
      <c r="C37" s="4" t="s">
        <v>234</v>
      </c>
      <c r="D37" s="4" t="s">
        <v>237</v>
      </c>
      <c r="E37" s="21"/>
      <c r="F37" s="4" t="s">
        <v>341</v>
      </c>
      <c r="G37" s="10" t="s">
        <v>54</v>
      </c>
      <c r="H37" s="22"/>
      <c r="I37" s="22"/>
    </row>
    <row r="38" customFormat="false" ht="35.05" hidden="false" customHeight="false" outlineLevel="0" collapsed="false">
      <c r="A38" s="4" t="s">
        <v>240</v>
      </c>
      <c r="B38" s="4" t="s">
        <v>191</v>
      </c>
      <c r="C38" s="4" t="s">
        <v>241</v>
      </c>
      <c r="D38" s="4" t="s">
        <v>244</v>
      </c>
      <c r="E38" s="21" t="s">
        <v>370</v>
      </c>
      <c r="F38" s="4" t="s">
        <v>342</v>
      </c>
      <c r="G38" s="10" t="s">
        <v>54</v>
      </c>
      <c r="H38" s="22"/>
      <c r="I38" s="22"/>
    </row>
    <row r="39" customFormat="false" ht="35.05" hidden="false" customHeight="false" outlineLevel="0" collapsed="false">
      <c r="A39" s="4" t="s">
        <v>247</v>
      </c>
      <c r="B39" s="4" t="s">
        <v>191</v>
      </c>
      <c r="C39" s="4" t="s">
        <v>248</v>
      </c>
      <c r="D39" s="4" t="s">
        <v>251</v>
      </c>
      <c r="E39" s="21" t="s">
        <v>371</v>
      </c>
      <c r="F39" s="4" t="s">
        <v>343</v>
      </c>
      <c r="G39" s="13" t="s">
        <v>69</v>
      </c>
      <c r="H39" s="22"/>
      <c r="I39" s="22"/>
    </row>
    <row r="40" customFormat="false" ht="23.85" hidden="false" customHeight="false" outlineLevel="0" collapsed="false">
      <c r="A40" s="4" t="s">
        <v>254</v>
      </c>
      <c r="B40" s="4" t="s">
        <v>191</v>
      </c>
      <c r="C40" s="4" t="s">
        <v>255</v>
      </c>
      <c r="D40" s="4" t="s">
        <v>258</v>
      </c>
      <c r="E40" s="21"/>
      <c r="F40" s="4" t="s">
        <v>344</v>
      </c>
      <c r="G40" s="13" t="s">
        <v>69</v>
      </c>
      <c r="H40" s="22"/>
      <c r="I40" s="22"/>
    </row>
    <row r="41" customFormat="false" ht="23.85" hidden="false" customHeight="false" outlineLevel="0" collapsed="false">
      <c r="A41" s="4" t="s">
        <v>261</v>
      </c>
      <c r="B41" s="4" t="s">
        <v>262</v>
      </c>
      <c r="C41" s="4" t="s">
        <v>263</v>
      </c>
      <c r="D41" s="4" t="s">
        <v>266</v>
      </c>
      <c r="E41" s="21"/>
      <c r="F41" s="4" t="s">
        <v>345</v>
      </c>
      <c r="G41" s="10" t="s">
        <v>54</v>
      </c>
      <c r="H41" s="22"/>
      <c r="I41" s="22"/>
    </row>
    <row r="42" customFormat="false" ht="23.85" hidden="false" customHeight="false" outlineLevel="0" collapsed="false">
      <c r="A42" s="4" t="s">
        <v>269</v>
      </c>
      <c r="B42" s="4" t="s">
        <v>262</v>
      </c>
      <c r="C42" s="4" t="s">
        <v>270</v>
      </c>
      <c r="D42" s="4" t="s">
        <v>273</v>
      </c>
      <c r="E42" s="21"/>
      <c r="F42" s="4" t="s">
        <v>346</v>
      </c>
      <c r="G42" s="13" t="s">
        <v>69</v>
      </c>
      <c r="H42" s="22"/>
      <c r="I42" s="22"/>
    </row>
    <row r="43" customFormat="false" ht="35.05" hidden="false" customHeight="false" outlineLevel="0" collapsed="false">
      <c r="A43" s="4" t="s">
        <v>276</v>
      </c>
      <c r="B43" s="4" t="s">
        <v>277</v>
      </c>
      <c r="C43" s="4" t="s">
        <v>278</v>
      </c>
      <c r="D43" s="4" t="s">
        <v>281</v>
      </c>
      <c r="E43" s="21"/>
      <c r="F43" s="4" t="s">
        <v>347</v>
      </c>
      <c r="G43" s="10" t="s">
        <v>54</v>
      </c>
      <c r="H43" s="22"/>
      <c r="I43" s="22"/>
    </row>
    <row r="44" customFormat="false" ht="23.85" hidden="false" customHeight="false" outlineLevel="0" collapsed="false">
      <c r="A44" s="4" t="s">
        <v>284</v>
      </c>
      <c r="B44" s="4" t="s">
        <v>277</v>
      </c>
      <c r="C44" s="4" t="s">
        <v>285</v>
      </c>
      <c r="D44" s="4" t="s">
        <v>288</v>
      </c>
      <c r="E44" s="21" t="s">
        <v>372</v>
      </c>
      <c r="F44" s="4" t="s">
        <v>348</v>
      </c>
      <c r="G44" s="13" t="s">
        <v>69</v>
      </c>
      <c r="H44" s="22"/>
      <c r="I44" s="22"/>
    </row>
  </sheetData>
  <autoFilter ref="A11:I44"/>
  <conditionalFormatting sqref="H12:H44">
    <cfRule type="cellIs" priority="2" operator="equal" aboveAverage="0" equalAverage="0" bottom="0" percent="0" rank="0" text="" dxfId="9">
      <formula>"Cumple"</formula>
    </cfRule>
    <cfRule type="cellIs" priority="3" operator="equal" aboveAverage="0" equalAverage="0" bottom="0" percent="0" rank="0" text="" dxfId="10">
      <formula>"Parcial"</formula>
    </cfRule>
    <cfRule type="cellIs" priority="4" operator="equal" aboveAverage="0" equalAverage="0" bottom="0" percent="0" rank="0" text="" dxfId="11">
      <formula>"No cumple"</formula>
    </cfRule>
    <cfRule type="cellIs" priority="5" operator="equal" aboveAverage="0" equalAverage="0" bottom="0" percent="0" rank="0" text="" dxfId="12">
      <formula>"N.A."</formula>
    </cfRule>
  </conditionalFormatting>
  <dataValidations count="1">
    <dataValidation allowBlank="true" error="Elige un valor de la lista" errorStyle="stop" operator="between" prompt="Cumple / Parcial / No cumple / N.A." showDropDown="false" showErrorMessage="false" showInputMessage="false" sqref="H12:H44" type="list">
      <formula1>"Cumple,Parcial,No cumple,N.A."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373</v>
      </c>
    </row>
    <row r="2" customFormat="false" ht="15" hidden="false" customHeight="false" outlineLevel="0" collapsed="false">
      <c r="A2" s="2" t="s">
        <v>374</v>
      </c>
    </row>
    <row r="4" customFormat="false" ht="15" hidden="false" customHeight="false" outlineLevel="0" collapsed="false">
      <c r="A4" s="15" t="s">
        <v>293</v>
      </c>
      <c r="B4" s="16"/>
      <c r="D4" s="17" t="s">
        <v>295</v>
      </c>
    </row>
    <row r="5" customFormat="false" ht="19.7" hidden="false" customHeight="false" outlineLevel="0" collapsed="false">
      <c r="A5" s="15" t="s">
        <v>296</v>
      </c>
      <c r="B5" s="18" t="n">
        <f aca="false">COUNTA($A$12:$A$44)</f>
        <v>33</v>
      </c>
      <c r="D5" s="19" t="n">
        <f aca="false">IFERROR((B6+0.5*B7)/(B5-B9),0)</f>
        <v>0</v>
      </c>
    </row>
    <row r="6" customFormat="false" ht="15" hidden="false" customHeight="false" outlineLevel="0" collapsed="false">
      <c r="A6" s="15" t="s">
        <v>27</v>
      </c>
      <c r="B6" s="18" t="n">
        <f aca="false">COUNTIF($H$12:$H$44,"Cumple")</f>
        <v>0</v>
      </c>
    </row>
    <row r="7" customFormat="false" ht="15" hidden="false" customHeight="false" outlineLevel="0" collapsed="false">
      <c r="A7" s="15" t="s">
        <v>28</v>
      </c>
      <c r="B7" s="18" t="n">
        <f aca="false">COUNTIF($H$12:$H$44,"Parcial")</f>
        <v>0</v>
      </c>
      <c r="D7" s="17" t="s">
        <v>33</v>
      </c>
    </row>
    <row r="8" customFormat="false" ht="19.7" hidden="false" customHeight="false" outlineLevel="0" collapsed="false">
      <c r="A8" s="15" t="s">
        <v>29</v>
      </c>
      <c r="B8" s="18" t="n">
        <f aca="false">COUNTIF($H$12:$H$44,"No cumple")</f>
        <v>0</v>
      </c>
      <c r="D8" s="20" t="n">
        <f aca="false">COUNTIFS($G$12:$G$44,"Obligatorio",$H$12:$H$44,"No cumple")</f>
        <v>0</v>
      </c>
    </row>
    <row r="9" customFormat="false" ht="15" hidden="false" customHeight="false" outlineLevel="0" collapsed="false">
      <c r="A9" s="15" t="s">
        <v>30</v>
      </c>
      <c r="B9" s="18" t="n">
        <f aca="false">COUNTIF($H$12:$H$44,"N.A.")</f>
        <v>0</v>
      </c>
    </row>
    <row r="10" customFormat="false" ht="15" hidden="false" customHeight="false" outlineLevel="0" collapsed="false">
      <c r="A10" s="15" t="s">
        <v>297</v>
      </c>
      <c r="B10" s="18" t="n">
        <f aca="false">B5-B6-B7-B8-B9</f>
        <v>33</v>
      </c>
    </row>
    <row r="11" customFormat="false" ht="15" hidden="false" customHeight="false" outlineLevel="0" collapsed="false">
      <c r="A11" s="5" t="s">
        <v>41</v>
      </c>
      <c r="B11" s="5" t="s">
        <v>42</v>
      </c>
      <c r="C11" s="5" t="s">
        <v>43</v>
      </c>
      <c r="D11" s="5" t="s">
        <v>298</v>
      </c>
      <c r="E11" s="5" t="s">
        <v>299</v>
      </c>
      <c r="F11" s="5" t="s">
        <v>300</v>
      </c>
      <c r="G11" s="5" t="s">
        <v>45</v>
      </c>
      <c r="H11" s="5" t="s">
        <v>301</v>
      </c>
      <c r="I11" s="5" t="s">
        <v>302</v>
      </c>
    </row>
    <row r="12" customFormat="false" ht="35.05" hidden="false" customHeight="false" outlineLevel="0" collapsed="false">
      <c r="A12" s="4" t="s">
        <v>50</v>
      </c>
      <c r="B12" s="4" t="s">
        <v>51</v>
      </c>
      <c r="C12" s="4" t="s">
        <v>52</v>
      </c>
      <c r="D12" s="4" t="s">
        <v>57</v>
      </c>
      <c r="E12" s="21" t="s">
        <v>375</v>
      </c>
      <c r="F12" s="4" t="s">
        <v>304</v>
      </c>
      <c r="G12" s="10" t="s">
        <v>54</v>
      </c>
      <c r="H12" s="22"/>
      <c r="I12" s="22"/>
    </row>
    <row r="13" customFormat="false" ht="23.85" hidden="false" customHeight="false" outlineLevel="0" collapsed="false">
      <c r="A13" s="4" t="s">
        <v>59</v>
      </c>
      <c r="B13" s="4" t="s">
        <v>51</v>
      </c>
      <c r="C13" s="4" t="s">
        <v>60</v>
      </c>
      <c r="D13" s="4" t="s">
        <v>64</v>
      </c>
      <c r="E13" s="21" t="s">
        <v>376</v>
      </c>
      <c r="F13" s="4" t="s">
        <v>307</v>
      </c>
      <c r="G13" s="10" t="s">
        <v>54</v>
      </c>
      <c r="H13" s="22"/>
      <c r="I13" s="22"/>
    </row>
    <row r="14" customFormat="false" ht="43.25" hidden="false" customHeight="false" outlineLevel="0" collapsed="false">
      <c r="A14" s="4" t="s">
        <v>66</v>
      </c>
      <c r="B14" s="4" t="s">
        <v>51</v>
      </c>
      <c r="C14" s="4" t="s">
        <v>67</v>
      </c>
      <c r="D14" s="4" t="s">
        <v>72</v>
      </c>
      <c r="E14" s="21" t="s">
        <v>377</v>
      </c>
      <c r="F14" s="4" t="s">
        <v>309</v>
      </c>
      <c r="G14" s="13" t="s">
        <v>69</v>
      </c>
      <c r="H14" s="22"/>
      <c r="I14" s="22"/>
    </row>
    <row r="15" customFormat="false" ht="23.85" hidden="false" customHeight="false" outlineLevel="0" collapsed="false">
      <c r="A15" s="4" t="s">
        <v>74</v>
      </c>
      <c r="B15" s="4" t="s">
        <v>51</v>
      </c>
      <c r="C15" s="4" t="s">
        <v>75</v>
      </c>
      <c r="D15" s="4" t="s">
        <v>79</v>
      </c>
      <c r="E15" s="21" t="s">
        <v>378</v>
      </c>
      <c r="F15" s="4" t="s">
        <v>310</v>
      </c>
      <c r="G15" s="10" t="s">
        <v>54</v>
      </c>
      <c r="H15" s="22"/>
      <c r="I15" s="22"/>
    </row>
    <row r="16" customFormat="false" ht="23.85" hidden="false" customHeight="false" outlineLevel="0" collapsed="false">
      <c r="A16" s="4" t="s">
        <v>81</v>
      </c>
      <c r="B16" s="4" t="s">
        <v>51</v>
      </c>
      <c r="C16" s="4" t="s">
        <v>82</v>
      </c>
      <c r="D16" s="4" t="s">
        <v>86</v>
      </c>
      <c r="E16" s="21" t="s">
        <v>379</v>
      </c>
      <c r="F16" s="4" t="s">
        <v>311</v>
      </c>
      <c r="G16" s="13" t="s">
        <v>69</v>
      </c>
      <c r="H16" s="22"/>
      <c r="I16" s="22"/>
    </row>
    <row r="17" customFormat="false" ht="35.05" hidden="false" customHeight="false" outlineLevel="0" collapsed="false">
      <c r="A17" s="4" t="s">
        <v>88</v>
      </c>
      <c r="B17" s="4" t="s">
        <v>89</v>
      </c>
      <c r="C17" s="4" t="s">
        <v>90</v>
      </c>
      <c r="D17" s="4" t="s">
        <v>94</v>
      </c>
      <c r="E17" s="21" t="s">
        <v>380</v>
      </c>
      <c r="F17" s="4" t="s">
        <v>313</v>
      </c>
      <c r="G17" s="10" t="s">
        <v>54</v>
      </c>
      <c r="H17" s="22"/>
      <c r="I17" s="22"/>
    </row>
    <row r="18" customFormat="false" ht="35.05" hidden="false" customHeight="false" outlineLevel="0" collapsed="false">
      <c r="A18" s="4" t="s">
        <v>96</v>
      </c>
      <c r="B18" s="4" t="s">
        <v>89</v>
      </c>
      <c r="C18" s="4" t="s">
        <v>97</v>
      </c>
      <c r="D18" s="4" t="s">
        <v>101</v>
      </c>
      <c r="E18" s="21" t="s">
        <v>381</v>
      </c>
      <c r="F18" s="4" t="s">
        <v>314</v>
      </c>
      <c r="G18" s="10" t="s">
        <v>54</v>
      </c>
      <c r="H18" s="22"/>
      <c r="I18" s="22"/>
    </row>
    <row r="19" customFormat="false" ht="23.85" hidden="false" customHeight="false" outlineLevel="0" collapsed="false">
      <c r="A19" s="4" t="s">
        <v>103</v>
      </c>
      <c r="B19" s="4" t="s">
        <v>89</v>
      </c>
      <c r="C19" s="4" t="s">
        <v>104</v>
      </c>
      <c r="D19" s="4" t="s">
        <v>108</v>
      </c>
      <c r="E19" s="21" t="s">
        <v>382</v>
      </c>
      <c r="F19" s="4" t="s">
        <v>315</v>
      </c>
      <c r="G19" s="10" t="s">
        <v>54</v>
      </c>
      <c r="H19" s="22"/>
      <c r="I19" s="22"/>
    </row>
    <row r="20" customFormat="false" ht="23.85" hidden="false" customHeight="false" outlineLevel="0" collapsed="false">
      <c r="A20" s="4" t="s">
        <v>110</v>
      </c>
      <c r="B20" s="4" t="s">
        <v>89</v>
      </c>
      <c r="C20" s="4" t="s">
        <v>111</v>
      </c>
      <c r="D20" s="4" t="s">
        <v>115</v>
      </c>
      <c r="E20" s="21" t="s">
        <v>383</v>
      </c>
      <c r="F20" s="4" t="s">
        <v>316</v>
      </c>
      <c r="G20" s="13" t="s">
        <v>69</v>
      </c>
      <c r="H20" s="22"/>
      <c r="I20" s="22"/>
    </row>
    <row r="21" customFormat="false" ht="23.85" hidden="false" customHeight="false" outlineLevel="0" collapsed="false">
      <c r="A21" s="4" t="s">
        <v>117</v>
      </c>
      <c r="B21" s="4" t="s">
        <v>89</v>
      </c>
      <c r="C21" s="4" t="s">
        <v>118</v>
      </c>
      <c r="D21" s="4" t="s">
        <v>122</v>
      </c>
      <c r="E21" s="21" t="s">
        <v>384</v>
      </c>
      <c r="F21" s="4" t="s">
        <v>317</v>
      </c>
      <c r="G21" s="13" t="s">
        <v>69</v>
      </c>
      <c r="H21" s="22"/>
      <c r="I21" s="22"/>
    </row>
    <row r="22" customFormat="false" ht="35.05" hidden="false" customHeight="false" outlineLevel="0" collapsed="false">
      <c r="A22" s="4" t="s">
        <v>124</v>
      </c>
      <c r="B22" s="4" t="s">
        <v>125</v>
      </c>
      <c r="C22" s="4" t="s">
        <v>126</v>
      </c>
      <c r="D22" s="4" t="s">
        <v>130</v>
      </c>
      <c r="E22" s="21" t="s">
        <v>385</v>
      </c>
      <c r="F22" s="4" t="s">
        <v>319</v>
      </c>
      <c r="G22" s="10" t="s">
        <v>54</v>
      </c>
      <c r="H22" s="22"/>
      <c r="I22" s="22"/>
    </row>
    <row r="23" customFormat="false" ht="35.05" hidden="false" customHeight="false" outlineLevel="0" collapsed="false">
      <c r="A23" s="4" t="s">
        <v>132</v>
      </c>
      <c r="B23" s="4" t="s">
        <v>125</v>
      </c>
      <c r="C23" s="4" t="s">
        <v>133</v>
      </c>
      <c r="D23" s="4" t="s">
        <v>137</v>
      </c>
      <c r="E23" s="21" t="s">
        <v>386</v>
      </c>
      <c r="F23" s="4" t="s">
        <v>321</v>
      </c>
      <c r="G23" s="10" t="s">
        <v>54</v>
      </c>
      <c r="H23" s="22"/>
      <c r="I23" s="22"/>
    </row>
    <row r="24" customFormat="false" ht="23.85" hidden="false" customHeight="false" outlineLevel="0" collapsed="false">
      <c r="A24" s="4" t="s">
        <v>139</v>
      </c>
      <c r="B24" s="4" t="s">
        <v>125</v>
      </c>
      <c r="C24" s="4" t="s">
        <v>140</v>
      </c>
      <c r="D24" s="4" t="s">
        <v>144</v>
      </c>
      <c r="E24" s="21" t="s">
        <v>387</v>
      </c>
      <c r="F24" s="4" t="s">
        <v>322</v>
      </c>
      <c r="G24" s="10" t="s">
        <v>54</v>
      </c>
      <c r="H24" s="22"/>
      <c r="I24" s="22"/>
    </row>
    <row r="25" customFormat="false" ht="23.85" hidden="false" customHeight="false" outlineLevel="0" collapsed="false">
      <c r="A25" s="4" t="s">
        <v>146</v>
      </c>
      <c r="B25" s="4" t="s">
        <v>125</v>
      </c>
      <c r="C25" s="4" t="s">
        <v>147</v>
      </c>
      <c r="D25" s="4" t="s">
        <v>151</v>
      </c>
      <c r="E25" s="21" t="s">
        <v>388</v>
      </c>
      <c r="F25" s="4" t="s">
        <v>324</v>
      </c>
      <c r="G25" s="13" t="s">
        <v>69</v>
      </c>
      <c r="H25" s="22"/>
      <c r="I25" s="22"/>
    </row>
    <row r="26" customFormat="false" ht="23.85" hidden="false" customHeight="false" outlineLevel="0" collapsed="false">
      <c r="A26" s="4" t="s">
        <v>153</v>
      </c>
      <c r="B26" s="4" t="s">
        <v>154</v>
      </c>
      <c r="C26" s="4" t="s">
        <v>155</v>
      </c>
      <c r="D26" s="4" t="s">
        <v>159</v>
      </c>
      <c r="E26" s="21" t="s">
        <v>389</v>
      </c>
      <c r="F26" s="4" t="s">
        <v>326</v>
      </c>
      <c r="G26" s="10" t="s">
        <v>54</v>
      </c>
      <c r="H26" s="22"/>
      <c r="I26" s="22"/>
    </row>
    <row r="27" customFormat="false" ht="23.85" hidden="false" customHeight="false" outlineLevel="0" collapsed="false">
      <c r="A27" s="4" t="s">
        <v>161</v>
      </c>
      <c r="B27" s="4" t="s">
        <v>154</v>
      </c>
      <c r="C27" s="4" t="s">
        <v>162</v>
      </c>
      <c r="D27" s="4" t="s">
        <v>166</v>
      </c>
      <c r="E27" s="21" t="s">
        <v>390</v>
      </c>
      <c r="F27" s="4" t="s">
        <v>327</v>
      </c>
      <c r="G27" s="10" t="s">
        <v>54</v>
      </c>
      <c r="H27" s="22"/>
      <c r="I27" s="22"/>
    </row>
    <row r="28" customFormat="false" ht="23.85" hidden="false" customHeight="false" outlineLevel="0" collapsed="false">
      <c r="A28" s="4" t="s">
        <v>168</v>
      </c>
      <c r="B28" s="4" t="s">
        <v>154</v>
      </c>
      <c r="C28" s="4" t="s">
        <v>169</v>
      </c>
      <c r="D28" s="4" t="s">
        <v>173</v>
      </c>
      <c r="E28" s="21"/>
      <c r="F28" s="4" t="s">
        <v>328</v>
      </c>
      <c r="G28" s="10" t="s">
        <v>54</v>
      </c>
      <c r="H28" s="22"/>
      <c r="I28" s="22"/>
    </row>
    <row r="29" customFormat="false" ht="35.05" hidden="false" customHeight="false" outlineLevel="0" collapsed="false">
      <c r="A29" s="4" t="s">
        <v>175</v>
      </c>
      <c r="B29" s="4" t="s">
        <v>176</v>
      </c>
      <c r="C29" s="4" t="s">
        <v>177</v>
      </c>
      <c r="D29" s="4" t="s">
        <v>181</v>
      </c>
      <c r="E29" s="21" t="s">
        <v>391</v>
      </c>
      <c r="F29" s="4" t="s">
        <v>329</v>
      </c>
      <c r="G29" s="10" t="s">
        <v>54</v>
      </c>
      <c r="H29" s="22"/>
      <c r="I29" s="22"/>
    </row>
    <row r="30" customFormat="false" ht="35.05" hidden="false" customHeight="false" outlineLevel="0" collapsed="false">
      <c r="A30" s="4" t="s">
        <v>183</v>
      </c>
      <c r="B30" s="4" t="s">
        <v>176</v>
      </c>
      <c r="C30" s="4" t="s">
        <v>184</v>
      </c>
      <c r="D30" s="4" t="s">
        <v>188</v>
      </c>
      <c r="E30" s="21" t="s">
        <v>392</v>
      </c>
      <c r="F30" s="4" t="s">
        <v>330</v>
      </c>
      <c r="G30" s="10" t="s">
        <v>54</v>
      </c>
      <c r="H30" s="22"/>
      <c r="I30" s="22"/>
    </row>
    <row r="31" customFormat="false" ht="35.05" hidden="false" customHeight="false" outlineLevel="0" collapsed="false">
      <c r="A31" s="4" t="s">
        <v>190</v>
      </c>
      <c r="B31" s="4" t="s">
        <v>191</v>
      </c>
      <c r="C31" s="4" t="s">
        <v>192</v>
      </c>
      <c r="D31" s="4" t="s">
        <v>196</v>
      </c>
      <c r="E31" s="21"/>
      <c r="F31" s="4" t="s">
        <v>331</v>
      </c>
      <c r="G31" s="10" t="s">
        <v>54</v>
      </c>
      <c r="H31" s="22"/>
      <c r="I31" s="22"/>
    </row>
    <row r="32" customFormat="false" ht="23.85" hidden="false" customHeight="false" outlineLevel="0" collapsed="false">
      <c r="A32" s="4" t="s">
        <v>198</v>
      </c>
      <c r="B32" s="4" t="s">
        <v>191</v>
      </c>
      <c r="C32" s="4" t="s">
        <v>199</v>
      </c>
      <c r="D32" s="4" t="s">
        <v>203</v>
      </c>
      <c r="E32" s="21" t="s">
        <v>393</v>
      </c>
      <c r="F32" s="4" t="s">
        <v>333</v>
      </c>
      <c r="G32" s="10" t="s">
        <v>54</v>
      </c>
      <c r="H32" s="22"/>
      <c r="I32" s="22"/>
    </row>
    <row r="33" customFormat="false" ht="35.05" hidden="false" customHeight="false" outlineLevel="0" collapsed="false">
      <c r="A33" s="4" t="s">
        <v>205</v>
      </c>
      <c r="B33" s="4" t="s">
        <v>191</v>
      </c>
      <c r="C33" s="4" t="s">
        <v>206</v>
      </c>
      <c r="D33" s="4" t="s">
        <v>210</v>
      </c>
      <c r="E33" s="21" t="s">
        <v>394</v>
      </c>
      <c r="F33" s="4" t="s">
        <v>334</v>
      </c>
      <c r="G33" s="10" t="s">
        <v>54</v>
      </c>
      <c r="H33" s="22"/>
      <c r="I33" s="22"/>
    </row>
    <row r="34" customFormat="false" ht="23.85" hidden="false" customHeight="false" outlineLevel="0" collapsed="false">
      <c r="A34" s="4" t="s">
        <v>212</v>
      </c>
      <c r="B34" s="4" t="s">
        <v>191</v>
      </c>
      <c r="C34" s="4" t="s">
        <v>213</v>
      </c>
      <c r="D34" s="4" t="s">
        <v>217</v>
      </c>
      <c r="E34" s="21"/>
      <c r="F34" s="4" t="s">
        <v>335</v>
      </c>
      <c r="G34" s="13" t="s">
        <v>69</v>
      </c>
      <c r="H34" s="22"/>
      <c r="I34" s="22"/>
    </row>
    <row r="35" customFormat="false" ht="23.85" hidden="false" customHeight="false" outlineLevel="0" collapsed="false">
      <c r="A35" s="4" t="s">
        <v>219</v>
      </c>
      <c r="B35" s="4" t="s">
        <v>191</v>
      </c>
      <c r="C35" s="4" t="s">
        <v>220</v>
      </c>
      <c r="D35" s="4" t="s">
        <v>224</v>
      </c>
      <c r="E35" s="21"/>
      <c r="F35" s="4" t="s">
        <v>337</v>
      </c>
      <c r="G35" s="13" t="s">
        <v>69</v>
      </c>
      <c r="H35" s="22"/>
      <c r="I35" s="22"/>
    </row>
    <row r="36" customFormat="false" ht="23.85" hidden="false" customHeight="false" outlineLevel="0" collapsed="false">
      <c r="A36" s="4" t="s">
        <v>226</v>
      </c>
      <c r="B36" s="4" t="s">
        <v>191</v>
      </c>
      <c r="C36" s="4" t="s">
        <v>227</v>
      </c>
      <c r="D36" s="4" t="s">
        <v>231</v>
      </c>
      <c r="E36" s="21"/>
      <c r="F36" s="4" t="s">
        <v>339</v>
      </c>
      <c r="G36" s="10" t="s">
        <v>54</v>
      </c>
      <c r="H36" s="22"/>
      <c r="I36" s="22"/>
    </row>
    <row r="37" customFormat="false" ht="23.85" hidden="false" customHeight="false" outlineLevel="0" collapsed="false">
      <c r="A37" s="4" t="s">
        <v>233</v>
      </c>
      <c r="B37" s="4" t="s">
        <v>191</v>
      </c>
      <c r="C37" s="4" t="s">
        <v>234</v>
      </c>
      <c r="D37" s="4" t="s">
        <v>238</v>
      </c>
      <c r="E37" s="21"/>
      <c r="F37" s="4" t="s">
        <v>341</v>
      </c>
      <c r="G37" s="10" t="s">
        <v>54</v>
      </c>
      <c r="H37" s="22"/>
      <c r="I37" s="22"/>
    </row>
    <row r="38" customFormat="false" ht="35.05" hidden="false" customHeight="false" outlineLevel="0" collapsed="false">
      <c r="A38" s="4" t="s">
        <v>240</v>
      </c>
      <c r="B38" s="4" t="s">
        <v>191</v>
      </c>
      <c r="C38" s="4" t="s">
        <v>241</v>
      </c>
      <c r="D38" s="4" t="s">
        <v>245</v>
      </c>
      <c r="E38" s="21" t="s">
        <v>395</v>
      </c>
      <c r="F38" s="4" t="s">
        <v>342</v>
      </c>
      <c r="G38" s="10" t="s">
        <v>54</v>
      </c>
      <c r="H38" s="22"/>
      <c r="I38" s="22"/>
    </row>
    <row r="39" customFormat="false" ht="35.05" hidden="false" customHeight="false" outlineLevel="0" collapsed="false">
      <c r="A39" s="4" t="s">
        <v>247</v>
      </c>
      <c r="B39" s="4" t="s">
        <v>191</v>
      </c>
      <c r="C39" s="4" t="s">
        <v>248</v>
      </c>
      <c r="D39" s="4" t="s">
        <v>252</v>
      </c>
      <c r="E39" s="21" t="s">
        <v>394</v>
      </c>
      <c r="F39" s="4" t="s">
        <v>343</v>
      </c>
      <c r="G39" s="13" t="s">
        <v>69</v>
      </c>
      <c r="H39" s="22"/>
      <c r="I39" s="22"/>
    </row>
    <row r="40" customFormat="false" ht="23.85" hidden="false" customHeight="false" outlineLevel="0" collapsed="false">
      <c r="A40" s="4" t="s">
        <v>254</v>
      </c>
      <c r="B40" s="4" t="s">
        <v>191</v>
      </c>
      <c r="C40" s="4" t="s">
        <v>255</v>
      </c>
      <c r="D40" s="4" t="s">
        <v>259</v>
      </c>
      <c r="E40" s="21" t="s">
        <v>396</v>
      </c>
      <c r="F40" s="4" t="s">
        <v>344</v>
      </c>
      <c r="G40" s="13" t="s">
        <v>69</v>
      </c>
      <c r="H40" s="22"/>
      <c r="I40" s="22"/>
    </row>
    <row r="41" customFormat="false" ht="23.85" hidden="false" customHeight="false" outlineLevel="0" collapsed="false">
      <c r="A41" s="4" t="s">
        <v>261</v>
      </c>
      <c r="B41" s="4" t="s">
        <v>262</v>
      </c>
      <c r="C41" s="4" t="s">
        <v>263</v>
      </c>
      <c r="D41" s="4" t="s">
        <v>267</v>
      </c>
      <c r="E41" s="21" t="s">
        <v>397</v>
      </c>
      <c r="F41" s="4" t="s">
        <v>345</v>
      </c>
      <c r="G41" s="10" t="s">
        <v>54</v>
      </c>
      <c r="H41" s="22"/>
      <c r="I41" s="22"/>
    </row>
    <row r="42" customFormat="false" ht="23.85" hidden="false" customHeight="false" outlineLevel="0" collapsed="false">
      <c r="A42" s="4" t="s">
        <v>269</v>
      </c>
      <c r="B42" s="4" t="s">
        <v>262</v>
      </c>
      <c r="C42" s="4" t="s">
        <v>270</v>
      </c>
      <c r="D42" s="4" t="s">
        <v>274</v>
      </c>
      <c r="E42" s="21" t="s">
        <v>398</v>
      </c>
      <c r="F42" s="4" t="s">
        <v>346</v>
      </c>
      <c r="G42" s="13" t="s">
        <v>69</v>
      </c>
      <c r="H42" s="22"/>
      <c r="I42" s="22"/>
    </row>
    <row r="43" customFormat="false" ht="23.85" hidden="false" customHeight="false" outlineLevel="0" collapsed="false">
      <c r="A43" s="4" t="s">
        <v>276</v>
      </c>
      <c r="B43" s="4" t="s">
        <v>277</v>
      </c>
      <c r="C43" s="4" t="s">
        <v>278</v>
      </c>
      <c r="D43" s="4" t="s">
        <v>282</v>
      </c>
      <c r="E43" s="21"/>
      <c r="F43" s="4" t="s">
        <v>347</v>
      </c>
      <c r="G43" s="10" t="s">
        <v>54</v>
      </c>
      <c r="H43" s="22"/>
      <c r="I43" s="22"/>
    </row>
    <row r="44" customFormat="false" ht="23.85" hidden="false" customHeight="false" outlineLevel="0" collapsed="false">
      <c r="A44" s="4" t="s">
        <v>284</v>
      </c>
      <c r="B44" s="4" t="s">
        <v>277</v>
      </c>
      <c r="C44" s="4" t="s">
        <v>285</v>
      </c>
      <c r="D44" s="4" t="s">
        <v>289</v>
      </c>
      <c r="E44" s="21" t="s">
        <v>399</v>
      </c>
      <c r="F44" s="4" t="s">
        <v>348</v>
      </c>
      <c r="G44" s="13" t="s">
        <v>69</v>
      </c>
      <c r="H44" s="22"/>
      <c r="I44" s="22"/>
    </row>
  </sheetData>
  <autoFilter ref="A11:I44"/>
  <conditionalFormatting sqref="H12:H44">
    <cfRule type="cellIs" priority="2" operator="equal" aboveAverage="0" equalAverage="0" bottom="0" percent="0" rank="0" text="" dxfId="9">
      <formula>"Cumple"</formula>
    </cfRule>
    <cfRule type="cellIs" priority="3" operator="equal" aboveAverage="0" equalAverage="0" bottom="0" percent="0" rank="0" text="" dxfId="10">
      <formula>"Parcial"</formula>
    </cfRule>
    <cfRule type="cellIs" priority="4" operator="equal" aboveAverage="0" equalAverage="0" bottom="0" percent="0" rank="0" text="" dxfId="11">
      <formula>"No cumple"</formula>
    </cfRule>
    <cfRule type="cellIs" priority="5" operator="equal" aboveAverage="0" equalAverage="0" bottom="0" percent="0" rank="0" text="" dxfId="12">
      <formula>"N.A."</formula>
    </cfRule>
  </conditionalFormatting>
  <dataValidations count="1">
    <dataValidation allowBlank="true" error="Elige un valor de la lista" errorStyle="stop" operator="between" prompt="Cumple / Parcial / No cumple / N.A." showDropDown="false" showErrorMessage="false" showInputMessage="false" sqref="H12:H44" type="list">
      <formula1>"Cumple,Parcial,No cumple,N.A."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2" t="s">
        <v>401</v>
      </c>
    </row>
    <row r="4" customFormat="false" ht="15" hidden="false" customHeight="false" outlineLevel="0" collapsed="false">
      <c r="A4" s="15" t="s">
        <v>293</v>
      </c>
      <c r="B4" s="16"/>
      <c r="D4" s="17" t="s">
        <v>295</v>
      </c>
    </row>
    <row r="5" customFormat="false" ht="19.7" hidden="false" customHeight="false" outlineLevel="0" collapsed="false">
      <c r="A5" s="15" t="s">
        <v>296</v>
      </c>
      <c r="B5" s="18" t="n">
        <f aca="false">COUNTA($A$12:$A$44)</f>
        <v>33</v>
      </c>
      <c r="D5" s="19" t="n">
        <f aca="false">IFERROR((B6+0.5*B7)/(B5-B9),0)</f>
        <v>0</v>
      </c>
    </row>
    <row r="6" customFormat="false" ht="15" hidden="false" customHeight="false" outlineLevel="0" collapsed="false">
      <c r="A6" s="15" t="s">
        <v>27</v>
      </c>
      <c r="B6" s="18" t="n">
        <f aca="false">COUNTIF($H$12:$H$44,"Cumple")</f>
        <v>0</v>
      </c>
    </row>
    <row r="7" customFormat="false" ht="15" hidden="false" customHeight="false" outlineLevel="0" collapsed="false">
      <c r="A7" s="15" t="s">
        <v>28</v>
      </c>
      <c r="B7" s="18" t="n">
        <f aca="false">COUNTIF($H$12:$H$44,"Parcial")</f>
        <v>0</v>
      </c>
      <c r="D7" s="17" t="s">
        <v>33</v>
      </c>
    </row>
    <row r="8" customFormat="false" ht="19.7" hidden="false" customHeight="false" outlineLevel="0" collapsed="false">
      <c r="A8" s="15" t="s">
        <v>29</v>
      </c>
      <c r="B8" s="18" t="n">
        <f aca="false">COUNTIF($H$12:$H$44,"No cumple")</f>
        <v>0</v>
      </c>
      <c r="D8" s="20" t="n">
        <f aca="false">COUNTIFS($G$12:$G$44,"Obligatorio",$H$12:$H$44,"No cumple")</f>
        <v>0</v>
      </c>
    </row>
    <row r="9" customFormat="false" ht="15" hidden="false" customHeight="false" outlineLevel="0" collapsed="false">
      <c r="A9" s="15" t="s">
        <v>30</v>
      </c>
      <c r="B9" s="18" t="n">
        <f aca="false">COUNTIF($H$12:$H$44,"N.A.")</f>
        <v>0</v>
      </c>
    </row>
    <row r="10" customFormat="false" ht="15" hidden="false" customHeight="false" outlineLevel="0" collapsed="false">
      <c r="A10" s="15" t="s">
        <v>297</v>
      </c>
      <c r="B10" s="18" t="n">
        <f aca="false">B5-B6-B7-B8-B9</f>
        <v>33</v>
      </c>
    </row>
    <row r="11" customFormat="false" ht="15" hidden="false" customHeight="false" outlineLevel="0" collapsed="false">
      <c r="A11" s="5" t="s">
        <v>41</v>
      </c>
      <c r="B11" s="5" t="s">
        <v>42</v>
      </c>
      <c r="C11" s="5" t="s">
        <v>43</v>
      </c>
      <c r="D11" s="5" t="s">
        <v>298</v>
      </c>
      <c r="E11" s="5" t="s">
        <v>299</v>
      </c>
      <c r="F11" s="5" t="s">
        <v>300</v>
      </c>
      <c r="G11" s="5" t="s">
        <v>45</v>
      </c>
      <c r="H11" s="5" t="s">
        <v>301</v>
      </c>
      <c r="I11" s="5" t="s">
        <v>302</v>
      </c>
    </row>
    <row r="12" customFormat="false" ht="35.05" hidden="false" customHeight="false" outlineLevel="0" collapsed="false">
      <c r="A12" s="4" t="s">
        <v>50</v>
      </c>
      <c r="B12" s="4" t="s">
        <v>51</v>
      </c>
      <c r="C12" s="4" t="s">
        <v>52</v>
      </c>
      <c r="D12" s="4" t="s">
        <v>58</v>
      </c>
      <c r="E12" s="21" t="s">
        <v>402</v>
      </c>
      <c r="F12" s="4" t="s">
        <v>304</v>
      </c>
      <c r="G12" s="10" t="s">
        <v>54</v>
      </c>
      <c r="H12" s="22"/>
      <c r="I12" s="22"/>
    </row>
    <row r="13" customFormat="false" ht="23.85" hidden="false" customHeight="false" outlineLevel="0" collapsed="false">
      <c r="A13" s="4" t="s">
        <v>59</v>
      </c>
      <c r="B13" s="4" t="s">
        <v>51</v>
      </c>
      <c r="C13" s="4" t="s">
        <v>60</v>
      </c>
      <c r="D13" s="4" t="s">
        <v>65</v>
      </c>
      <c r="E13" s="21" t="s">
        <v>403</v>
      </c>
      <c r="F13" s="4" t="s">
        <v>307</v>
      </c>
      <c r="G13" s="10" t="s">
        <v>54</v>
      </c>
      <c r="H13" s="22"/>
      <c r="I13" s="22"/>
    </row>
    <row r="14" customFormat="false" ht="35.05" hidden="false" customHeight="false" outlineLevel="0" collapsed="false">
      <c r="A14" s="4" t="s">
        <v>66</v>
      </c>
      <c r="B14" s="4" t="s">
        <v>51</v>
      </c>
      <c r="C14" s="4" t="s">
        <v>67</v>
      </c>
      <c r="D14" s="4" t="s">
        <v>73</v>
      </c>
      <c r="E14" s="21" t="s">
        <v>404</v>
      </c>
      <c r="F14" s="4" t="s">
        <v>309</v>
      </c>
      <c r="G14" s="13" t="s">
        <v>69</v>
      </c>
      <c r="H14" s="22"/>
      <c r="I14" s="22"/>
    </row>
    <row r="15" customFormat="false" ht="23.85" hidden="false" customHeight="false" outlineLevel="0" collapsed="false">
      <c r="A15" s="4" t="s">
        <v>74</v>
      </c>
      <c r="B15" s="4" t="s">
        <v>51</v>
      </c>
      <c r="C15" s="4" t="s">
        <v>75</v>
      </c>
      <c r="D15" s="4" t="s">
        <v>80</v>
      </c>
      <c r="E15" s="21" t="s">
        <v>405</v>
      </c>
      <c r="F15" s="4" t="s">
        <v>310</v>
      </c>
      <c r="G15" s="10" t="s">
        <v>54</v>
      </c>
      <c r="H15" s="22"/>
      <c r="I15" s="22"/>
    </row>
    <row r="16" customFormat="false" ht="23.85" hidden="false" customHeight="false" outlineLevel="0" collapsed="false">
      <c r="A16" s="4" t="s">
        <v>81</v>
      </c>
      <c r="B16" s="4" t="s">
        <v>51</v>
      </c>
      <c r="C16" s="4" t="s">
        <v>82</v>
      </c>
      <c r="D16" s="4" t="s">
        <v>87</v>
      </c>
      <c r="E16" s="21" t="s">
        <v>406</v>
      </c>
      <c r="F16" s="4" t="s">
        <v>311</v>
      </c>
      <c r="G16" s="13" t="s">
        <v>69</v>
      </c>
      <c r="H16" s="22"/>
      <c r="I16" s="22"/>
    </row>
    <row r="17" customFormat="false" ht="35.05" hidden="false" customHeight="false" outlineLevel="0" collapsed="false">
      <c r="A17" s="4" t="s">
        <v>88</v>
      </c>
      <c r="B17" s="4" t="s">
        <v>89</v>
      </c>
      <c r="C17" s="4" t="s">
        <v>90</v>
      </c>
      <c r="D17" s="4" t="s">
        <v>95</v>
      </c>
      <c r="E17" s="21" t="s">
        <v>407</v>
      </c>
      <c r="F17" s="4" t="s">
        <v>313</v>
      </c>
      <c r="G17" s="10" t="s">
        <v>54</v>
      </c>
      <c r="H17" s="22"/>
      <c r="I17" s="22"/>
    </row>
    <row r="18" customFormat="false" ht="35.05" hidden="false" customHeight="false" outlineLevel="0" collapsed="false">
      <c r="A18" s="4" t="s">
        <v>96</v>
      </c>
      <c r="B18" s="4" t="s">
        <v>89</v>
      </c>
      <c r="C18" s="4" t="s">
        <v>97</v>
      </c>
      <c r="D18" s="4" t="s">
        <v>102</v>
      </c>
      <c r="E18" s="21" t="s">
        <v>408</v>
      </c>
      <c r="F18" s="4" t="s">
        <v>314</v>
      </c>
      <c r="G18" s="10" t="s">
        <v>54</v>
      </c>
      <c r="H18" s="22"/>
      <c r="I18" s="22"/>
    </row>
    <row r="19" customFormat="false" ht="23.85" hidden="false" customHeight="false" outlineLevel="0" collapsed="false">
      <c r="A19" s="4" t="s">
        <v>103</v>
      </c>
      <c r="B19" s="4" t="s">
        <v>89</v>
      </c>
      <c r="C19" s="4" t="s">
        <v>104</v>
      </c>
      <c r="D19" s="4" t="s">
        <v>109</v>
      </c>
      <c r="E19" s="21" t="s">
        <v>408</v>
      </c>
      <c r="F19" s="4" t="s">
        <v>315</v>
      </c>
      <c r="G19" s="10" t="s">
        <v>54</v>
      </c>
      <c r="H19" s="22"/>
      <c r="I19" s="22"/>
    </row>
    <row r="20" customFormat="false" ht="35.05" hidden="false" customHeight="false" outlineLevel="0" collapsed="false">
      <c r="A20" s="4" t="s">
        <v>110</v>
      </c>
      <c r="B20" s="4" t="s">
        <v>89</v>
      </c>
      <c r="C20" s="4" t="s">
        <v>111</v>
      </c>
      <c r="D20" s="4" t="s">
        <v>116</v>
      </c>
      <c r="E20" s="21"/>
      <c r="F20" s="4" t="s">
        <v>316</v>
      </c>
      <c r="G20" s="13" t="s">
        <v>69</v>
      </c>
      <c r="H20" s="22"/>
      <c r="I20" s="22"/>
    </row>
    <row r="21" customFormat="false" ht="23.85" hidden="false" customHeight="false" outlineLevel="0" collapsed="false">
      <c r="A21" s="4" t="s">
        <v>117</v>
      </c>
      <c r="B21" s="4" t="s">
        <v>89</v>
      </c>
      <c r="C21" s="4" t="s">
        <v>118</v>
      </c>
      <c r="D21" s="4" t="s">
        <v>123</v>
      </c>
      <c r="E21" s="21" t="s">
        <v>409</v>
      </c>
      <c r="F21" s="4" t="s">
        <v>317</v>
      </c>
      <c r="G21" s="13" t="s">
        <v>69</v>
      </c>
      <c r="H21" s="22"/>
      <c r="I21" s="22"/>
    </row>
    <row r="22" customFormat="false" ht="35.05" hidden="false" customHeight="false" outlineLevel="0" collapsed="false">
      <c r="A22" s="4" t="s">
        <v>124</v>
      </c>
      <c r="B22" s="4" t="s">
        <v>125</v>
      </c>
      <c r="C22" s="4" t="s">
        <v>126</v>
      </c>
      <c r="D22" s="4" t="s">
        <v>131</v>
      </c>
      <c r="E22" s="21" t="s">
        <v>410</v>
      </c>
      <c r="F22" s="4" t="s">
        <v>319</v>
      </c>
      <c r="G22" s="10" t="s">
        <v>54</v>
      </c>
      <c r="H22" s="22"/>
      <c r="I22" s="22"/>
    </row>
    <row r="23" customFormat="false" ht="35.05" hidden="false" customHeight="false" outlineLevel="0" collapsed="false">
      <c r="A23" s="4" t="s">
        <v>132</v>
      </c>
      <c r="B23" s="4" t="s">
        <v>125</v>
      </c>
      <c r="C23" s="4" t="s">
        <v>133</v>
      </c>
      <c r="D23" s="4" t="s">
        <v>138</v>
      </c>
      <c r="E23" s="21" t="s">
        <v>411</v>
      </c>
      <c r="F23" s="4" t="s">
        <v>321</v>
      </c>
      <c r="G23" s="10" t="s">
        <v>54</v>
      </c>
      <c r="H23" s="22"/>
      <c r="I23" s="22"/>
    </row>
    <row r="24" customFormat="false" ht="23.85" hidden="false" customHeight="false" outlineLevel="0" collapsed="false">
      <c r="A24" s="4" t="s">
        <v>139</v>
      </c>
      <c r="B24" s="4" t="s">
        <v>125</v>
      </c>
      <c r="C24" s="4" t="s">
        <v>140</v>
      </c>
      <c r="D24" s="4" t="s">
        <v>145</v>
      </c>
      <c r="E24" s="21" t="s">
        <v>412</v>
      </c>
      <c r="F24" s="4" t="s">
        <v>322</v>
      </c>
      <c r="G24" s="10" t="s">
        <v>54</v>
      </c>
      <c r="H24" s="22"/>
      <c r="I24" s="22"/>
    </row>
    <row r="25" customFormat="false" ht="23.85" hidden="false" customHeight="false" outlineLevel="0" collapsed="false">
      <c r="A25" s="4" t="s">
        <v>146</v>
      </c>
      <c r="B25" s="4" t="s">
        <v>125</v>
      </c>
      <c r="C25" s="4" t="s">
        <v>147</v>
      </c>
      <c r="D25" s="4" t="s">
        <v>152</v>
      </c>
      <c r="E25" s="21" t="s">
        <v>413</v>
      </c>
      <c r="F25" s="4" t="s">
        <v>324</v>
      </c>
      <c r="G25" s="13" t="s">
        <v>69</v>
      </c>
      <c r="H25" s="22"/>
      <c r="I25" s="22"/>
    </row>
    <row r="26" customFormat="false" ht="23.85" hidden="false" customHeight="false" outlineLevel="0" collapsed="false">
      <c r="A26" s="4" t="s">
        <v>153</v>
      </c>
      <c r="B26" s="4" t="s">
        <v>154</v>
      </c>
      <c r="C26" s="4" t="s">
        <v>155</v>
      </c>
      <c r="D26" s="4" t="s">
        <v>160</v>
      </c>
      <c r="E26" s="21" t="s">
        <v>414</v>
      </c>
      <c r="F26" s="4" t="s">
        <v>326</v>
      </c>
      <c r="G26" s="10" t="s">
        <v>54</v>
      </c>
      <c r="H26" s="22"/>
      <c r="I26" s="22"/>
    </row>
    <row r="27" customFormat="false" ht="23.85" hidden="false" customHeight="false" outlineLevel="0" collapsed="false">
      <c r="A27" s="4" t="s">
        <v>161</v>
      </c>
      <c r="B27" s="4" t="s">
        <v>154</v>
      </c>
      <c r="C27" s="4" t="s">
        <v>162</v>
      </c>
      <c r="D27" s="4" t="s">
        <v>167</v>
      </c>
      <c r="E27" s="21"/>
      <c r="F27" s="4" t="s">
        <v>327</v>
      </c>
      <c r="G27" s="10" t="s">
        <v>54</v>
      </c>
      <c r="H27" s="22"/>
      <c r="I27" s="22"/>
    </row>
    <row r="28" customFormat="false" ht="23.85" hidden="false" customHeight="false" outlineLevel="0" collapsed="false">
      <c r="A28" s="4" t="s">
        <v>168</v>
      </c>
      <c r="B28" s="4" t="s">
        <v>154</v>
      </c>
      <c r="C28" s="4" t="s">
        <v>169</v>
      </c>
      <c r="D28" s="4" t="s">
        <v>174</v>
      </c>
      <c r="E28" s="21"/>
      <c r="F28" s="4" t="s">
        <v>328</v>
      </c>
      <c r="G28" s="10" t="s">
        <v>54</v>
      </c>
      <c r="H28" s="22"/>
      <c r="I28" s="22"/>
    </row>
    <row r="29" customFormat="false" ht="35.05" hidden="false" customHeight="false" outlineLevel="0" collapsed="false">
      <c r="A29" s="4" t="s">
        <v>175</v>
      </c>
      <c r="B29" s="4" t="s">
        <v>176</v>
      </c>
      <c r="C29" s="4" t="s">
        <v>177</v>
      </c>
      <c r="D29" s="4" t="s">
        <v>182</v>
      </c>
      <c r="E29" s="21" t="s">
        <v>415</v>
      </c>
      <c r="F29" s="4" t="s">
        <v>329</v>
      </c>
      <c r="G29" s="10" t="s">
        <v>54</v>
      </c>
      <c r="H29" s="22"/>
      <c r="I29" s="22"/>
    </row>
    <row r="30" customFormat="false" ht="35.05" hidden="false" customHeight="false" outlineLevel="0" collapsed="false">
      <c r="A30" s="4" t="s">
        <v>183</v>
      </c>
      <c r="B30" s="4" t="s">
        <v>176</v>
      </c>
      <c r="C30" s="4" t="s">
        <v>184</v>
      </c>
      <c r="D30" s="4" t="s">
        <v>189</v>
      </c>
      <c r="E30" s="21"/>
      <c r="F30" s="4" t="s">
        <v>330</v>
      </c>
      <c r="G30" s="10" t="s">
        <v>54</v>
      </c>
      <c r="H30" s="22"/>
      <c r="I30" s="22"/>
    </row>
    <row r="31" customFormat="false" ht="35.05" hidden="false" customHeight="false" outlineLevel="0" collapsed="false">
      <c r="A31" s="4" t="s">
        <v>190</v>
      </c>
      <c r="B31" s="4" t="s">
        <v>191</v>
      </c>
      <c r="C31" s="4" t="s">
        <v>192</v>
      </c>
      <c r="D31" s="4" t="s">
        <v>197</v>
      </c>
      <c r="E31" s="21"/>
      <c r="F31" s="4" t="s">
        <v>331</v>
      </c>
      <c r="G31" s="10" t="s">
        <v>54</v>
      </c>
      <c r="H31" s="22"/>
      <c r="I31" s="22"/>
    </row>
    <row r="32" customFormat="false" ht="23.85" hidden="false" customHeight="false" outlineLevel="0" collapsed="false">
      <c r="A32" s="4" t="s">
        <v>198</v>
      </c>
      <c r="B32" s="4" t="s">
        <v>191</v>
      </c>
      <c r="C32" s="4" t="s">
        <v>199</v>
      </c>
      <c r="D32" s="4" t="s">
        <v>204</v>
      </c>
      <c r="E32" s="21"/>
      <c r="F32" s="4" t="s">
        <v>333</v>
      </c>
      <c r="G32" s="10" t="s">
        <v>54</v>
      </c>
      <c r="H32" s="22"/>
      <c r="I32" s="22"/>
    </row>
    <row r="33" customFormat="false" ht="35.05" hidden="false" customHeight="false" outlineLevel="0" collapsed="false">
      <c r="A33" s="4" t="s">
        <v>205</v>
      </c>
      <c r="B33" s="4" t="s">
        <v>191</v>
      </c>
      <c r="C33" s="4" t="s">
        <v>206</v>
      </c>
      <c r="D33" s="4" t="s">
        <v>211</v>
      </c>
      <c r="E33" s="21"/>
      <c r="F33" s="4" t="s">
        <v>334</v>
      </c>
      <c r="G33" s="10" t="s">
        <v>54</v>
      </c>
      <c r="H33" s="22"/>
      <c r="I33" s="22"/>
    </row>
    <row r="34" customFormat="false" ht="23.85" hidden="false" customHeight="false" outlineLevel="0" collapsed="false">
      <c r="A34" s="4" t="s">
        <v>212</v>
      </c>
      <c r="B34" s="4" t="s">
        <v>191</v>
      </c>
      <c r="C34" s="4" t="s">
        <v>213</v>
      </c>
      <c r="D34" s="4" t="s">
        <v>218</v>
      </c>
      <c r="E34" s="21"/>
      <c r="F34" s="4" t="s">
        <v>335</v>
      </c>
      <c r="G34" s="13" t="s">
        <v>69</v>
      </c>
      <c r="H34" s="22"/>
      <c r="I34" s="22"/>
    </row>
    <row r="35" customFormat="false" ht="23.85" hidden="false" customHeight="false" outlineLevel="0" collapsed="false">
      <c r="A35" s="4" t="s">
        <v>219</v>
      </c>
      <c r="B35" s="4" t="s">
        <v>191</v>
      </c>
      <c r="C35" s="4" t="s">
        <v>220</v>
      </c>
      <c r="D35" s="4" t="s">
        <v>225</v>
      </c>
      <c r="E35" s="21"/>
      <c r="F35" s="4" t="s">
        <v>337</v>
      </c>
      <c r="G35" s="13" t="s">
        <v>69</v>
      </c>
      <c r="H35" s="22"/>
      <c r="I35" s="22"/>
    </row>
    <row r="36" customFormat="false" ht="23.85" hidden="false" customHeight="false" outlineLevel="0" collapsed="false">
      <c r="A36" s="4" t="s">
        <v>226</v>
      </c>
      <c r="B36" s="4" t="s">
        <v>191</v>
      </c>
      <c r="C36" s="4" t="s">
        <v>227</v>
      </c>
      <c r="D36" s="4" t="s">
        <v>232</v>
      </c>
      <c r="E36" s="21"/>
      <c r="F36" s="4" t="s">
        <v>339</v>
      </c>
      <c r="G36" s="10" t="s">
        <v>54</v>
      </c>
      <c r="H36" s="22"/>
      <c r="I36" s="22"/>
    </row>
    <row r="37" customFormat="false" ht="23.85" hidden="false" customHeight="false" outlineLevel="0" collapsed="false">
      <c r="A37" s="4" t="s">
        <v>233</v>
      </c>
      <c r="B37" s="4" t="s">
        <v>191</v>
      </c>
      <c r="C37" s="4" t="s">
        <v>234</v>
      </c>
      <c r="D37" s="4" t="s">
        <v>239</v>
      </c>
      <c r="E37" s="21"/>
      <c r="F37" s="4" t="s">
        <v>341</v>
      </c>
      <c r="G37" s="10" t="s">
        <v>54</v>
      </c>
      <c r="H37" s="22"/>
      <c r="I37" s="22"/>
    </row>
    <row r="38" customFormat="false" ht="35.05" hidden="false" customHeight="false" outlineLevel="0" collapsed="false">
      <c r="A38" s="4" t="s">
        <v>240</v>
      </c>
      <c r="B38" s="4" t="s">
        <v>191</v>
      </c>
      <c r="C38" s="4" t="s">
        <v>241</v>
      </c>
      <c r="D38" s="4" t="s">
        <v>246</v>
      </c>
      <c r="E38" s="21"/>
      <c r="F38" s="4" t="s">
        <v>342</v>
      </c>
      <c r="G38" s="10" t="s">
        <v>54</v>
      </c>
      <c r="H38" s="22"/>
      <c r="I38" s="22"/>
    </row>
    <row r="39" customFormat="false" ht="35.05" hidden="false" customHeight="false" outlineLevel="0" collapsed="false">
      <c r="A39" s="4" t="s">
        <v>247</v>
      </c>
      <c r="B39" s="4" t="s">
        <v>191</v>
      </c>
      <c r="C39" s="4" t="s">
        <v>248</v>
      </c>
      <c r="D39" s="4" t="s">
        <v>253</v>
      </c>
      <c r="E39" s="21" t="s">
        <v>416</v>
      </c>
      <c r="F39" s="4" t="s">
        <v>343</v>
      </c>
      <c r="G39" s="13" t="s">
        <v>69</v>
      </c>
      <c r="H39" s="22"/>
      <c r="I39" s="22"/>
    </row>
    <row r="40" customFormat="false" ht="23.85" hidden="false" customHeight="false" outlineLevel="0" collapsed="false">
      <c r="A40" s="4" t="s">
        <v>254</v>
      </c>
      <c r="B40" s="4" t="s">
        <v>191</v>
      </c>
      <c r="C40" s="4" t="s">
        <v>255</v>
      </c>
      <c r="D40" s="4" t="s">
        <v>260</v>
      </c>
      <c r="E40" s="21" t="s">
        <v>417</v>
      </c>
      <c r="F40" s="4" t="s">
        <v>344</v>
      </c>
      <c r="G40" s="13" t="s">
        <v>69</v>
      </c>
      <c r="H40" s="22"/>
      <c r="I40" s="22"/>
    </row>
    <row r="41" customFormat="false" ht="23.85" hidden="false" customHeight="false" outlineLevel="0" collapsed="false">
      <c r="A41" s="4" t="s">
        <v>261</v>
      </c>
      <c r="B41" s="4" t="s">
        <v>262</v>
      </c>
      <c r="C41" s="4" t="s">
        <v>263</v>
      </c>
      <c r="D41" s="4" t="s">
        <v>268</v>
      </c>
      <c r="E41" s="21"/>
      <c r="F41" s="4" t="s">
        <v>345</v>
      </c>
      <c r="G41" s="10" t="s">
        <v>54</v>
      </c>
      <c r="H41" s="22"/>
      <c r="I41" s="22"/>
    </row>
    <row r="42" customFormat="false" ht="23.85" hidden="false" customHeight="false" outlineLevel="0" collapsed="false">
      <c r="A42" s="4" t="s">
        <v>269</v>
      </c>
      <c r="B42" s="4" t="s">
        <v>262</v>
      </c>
      <c r="C42" s="4" t="s">
        <v>270</v>
      </c>
      <c r="D42" s="4" t="s">
        <v>275</v>
      </c>
      <c r="E42" s="21"/>
      <c r="F42" s="4" t="s">
        <v>346</v>
      </c>
      <c r="G42" s="13" t="s">
        <v>69</v>
      </c>
      <c r="H42" s="22"/>
      <c r="I42" s="22"/>
    </row>
    <row r="43" customFormat="false" ht="23.85" hidden="false" customHeight="false" outlineLevel="0" collapsed="false">
      <c r="A43" s="4" t="s">
        <v>276</v>
      </c>
      <c r="B43" s="4" t="s">
        <v>277</v>
      </c>
      <c r="C43" s="4" t="s">
        <v>278</v>
      </c>
      <c r="D43" s="4" t="s">
        <v>283</v>
      </c>
      <c r="E43" s="21"/>
      <c r="F43" s="4" t="s">
        <v>347</v>
      </c>
      <c r="G43" s="10" t="s">
        <v>54</v>
      </c>
      <c r="H43" s="22"/>
      <c r="I43" s="22"/>
    </row>
    <row r="44" customFormat="false" ht="23.85" hidden="false" customHeight="false" outlineLevel="0" collapsed="false">
      <c r="A44" s="4" t="s">
        <v>284</v>
      </c>
      <c r="B44" s="4" t="s">
        <v>277</v>
      </c>
      <c r="C44" s="4" t="s">
        <v>285</v>
      </c>
      <c r="D44" s="4" t="s">
        <v>290</v>
      </c>
      <c r="E44" s="21" t="s">
        <v>418</v>
      </c>
      <c r="F44" s="4" t="s">
        <v>348</v>
      </c>
      <c r="G44" s="13" t="s">
        <v>69</v>
      </c>
      <c r="H44" s="22"/>
      <c r="I44" s="22"/>
    </row>
  </sheetData>
  <autoFilter ref="A11:I44"/>
  <conditionalFormatting sqref="H12:H44">
    <cfRule type="cellIs" priority="2" operator="equal" aboveAverage="0" equalAverage="0" bottom="0" percent="0" rank="0" text="" dxfId="9">
      <formula>"Cumple"</formula>
    </cfRule>
    <cfRule type="cellIs" priority="3" operator="equal" aboveAverage="0" equalAverage="0" bottom="0" percent="0" rank="0" text="" dxfId="10">
      <formula>"Parcial"</formula>
    </cfRule>
    <cfRule type="cellIs" priority="4" operator="equal" aboveAverage="0" equalAverage="0" bottom="0" percent="0" rank="0" text="" dxfId="11">
      <formula>"No cumple"</formula>
    </cfRule>
    <cfRule type="cellIs" priority="5" operator="equal" aboveAverage="0" equalAverage="0" bottom="0" percent="0" rank="0" text="" dxfId="12">
      <formula>"N.A."</formula>
    </cfRule>
  </conditionalFormatting>
  <dataValidations count="1">
    <dataValidation allowBlank="true" error="Elige un valor de la lista" errorStyle="stop" operator="between" prompt="Cumple / Parcial / No cumple / N.A." showDropDown="false" showErrorMessage="false" showInputMessage="false" sqref="H12:H44" type="list">
      <formula1>"Cumple,Parcial,No cumple,N.A."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38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419</v>
      </c>
    </row>
    <row r="2" customFormat="false" ht="15" hidden="false" customHeight="false" outlineLevel="0" collapsed="false">
      <c r="A2" s="2" t="s">
        <v>420</v>
      </c>
    </row>
    <row r="4" customFormat="false" ht="23.85" hidden="false" customHeight="false" outlineLevel="0" collapsed="false">
      <c r="A4" s="5" t="s">
        <v>41</v>
      </c>
      <c r="B4" s="5" t="s">
        <v>421</v>
      </c>
      <c r="C4" s="5" t="s">
        <v>422</v>
      </c>
      <c r="D4" s="5" t="s">
        <v>423</v>
      </c>
      <c r="E4" s="5" t="s">
        <v>424</v>
      </c>
      <c r="F4" s="5" t="s">
        <v>425</v>
      </c>
    </row>
    <row r="5" customFormat="false" ht="23.85" hidden="false" customHeight="false" outlineLevel="0" collapsed="false">
      <c r="A5" s="4" t="s">
        <v>426</v>
      </c>
      <c r="B5" s="4" t="s">
        <v>427</v>
      </c>
      <c r="C5" s="4" t="s">
        <v>428</v>
      </c>
      <c r="D5" s="4" t="s">
        <v>429</v>
      </c>
      <c r="E5" s="23"/>
      <c r="F5" s="23"/>
    </row>
    <row r="6" customFormat="false" ht="23.85" hidden="false" customHeight="false" outlineLevel="0" collapsed="false">
      <c r="A6" s="4" t="s">
        <v>430</v>
      </c>
      <c r="B6" s="4" t="s">
        <v>431</v>
      </c>
      <c r="C6" s="4" t="s">
        <v>432</v>
      </c>
      <c r="D6" s="4" t="s">
        <v>433</v>
      </c>
      <c r="E6" s="23"/>
      <c r="F6" s="23"/>
    </row>
    <row r="7" customFormat="false" ht="23.85" hidden="false" customHeight="false" outlineLevel="0" collapsed="false">
      <c r="A7" s="4" t="s">
        <v>434</v>
      </c>
      <c r="B7" s="4" t="s">
        <v>435</v>
      </c>
      <c r="C7" s="4" t="s">
        <v>436</v>
      </c>
      <c r="D7" s="4" t="s">
        <v>437</v>
      </c>
      <c r="E7" s="23"/>
      <c r="F7" s="23"/>
    </row>
    <row r="8" customFormat="false" ht="23.85" hidden="false" customHeight="false" outlineLevel="0" collapsed="false">
      <c r="A8" s="4" t="s">
        <v>438</v>
      </c>
      <c r="B8" s="4" t="s">
        <v>439</v>
      </c>
      <c r="C8" s="4" t="s">
        <v>440</v>
      </c>
      <c r="D8" s="4" t="s">
        <v>441</v>
      </c>
      <c r="E8" s="23"/>
      <c r="F8" s="23"/>
    </row>
    <row r="9" customFormat="false" ht="15" hidden="false" customHeight="false" outlineLevel="0" collapsed="false">
      <c r="A9" s="4" t="s">
        <v>442</v>
      </c>
      <c r="B9" s="4" t="s">
        <v>443</v>
      </c>
      <c r="C9" s="4" t="s">
        <v>444</v>
      </c>
      <c r="D9" s="4" t="s">
        <v>445</v>
      </c>
      <c r="E9" s="23"/>
      <c r="F9" s="23"/>
    </row>
    <row r="10" customFormat="false" ht="23.85" hidden="false" customHeight="false" outlineLevel="0" collapsed="false">
      <c r="A10" s="4" t="s">
        <v>446</v>
      </c>
      <c r="B10" s="4" t="s">
        <v>447</v>
      </c>
      <c r="C10" s="4" t="s">
        <v>448</v>
      </c>
      <c r="D10" s="4" t="s">
        <v>449</v>
      </c>
      <c r="E10" s="23"/>
      <c r="F10" s="23"/>
    </row>
    <row r="11" customFormat="false" ht="23.85" hidden="false" customHeight="false" outlineLevel="0" collapsed="false">
      <c r="A11" s="4" t="s">
        <v>450</v>
      </c>
      <c r="B11" s="4" t="s">
        <v>451</v>
      </c>
      <c r="C11" s="4" t="s">
        <v>452</v>
      </c>
      <c r="D11" s="4" t="s">
        <v>453</v>
      </c>
      <c r="E11" s="23"/>
      <c r="F11" s="23"/>
    </row>
    <row r="12" customFormat="false" ht="15" hidden="false" customHeight="false" outlineLevel="0" collapsed="false">
      <c r="A12" s="4" t="s">
        <v>454</v>
      </c>
      <c r="B12" s="4" t="s">
        <v>455</v>
      </c>
      <c r="C12" s="4" t="s">
        <v>456</v>
      </c>
      <c r="D12" s="4" t="s">
        <v>457</v>
      </c>
      <c r="E12" s="23"/>
      <c r="F12" s="23"/>
    </row>
    <row r="13" customFormat="false" ht="23.85" hidden="false" customHeight="false" outlineLevel="0" collapsed="false">
      <c r="A13" s="4" t="s">
        <v>458</v>
      </c>
      <c r="B13" s="4" t="s">
        <v>459</v>
      </c>
      <c r="C13" s="4" t="s">
        <v>460</v>
      </c>
      <c r="D13" s="4" t="s">
        <v>461</v>
      </c>
      <c r="E13" s="23"/>
      <c r="F13" s="23"/>
    </row>
    <row r="14" customFormat="false" ht="15" hidden="false" customHeight="false" outlineLevel="0" collapsed="false">
      <c r="A14" s="4" t="s">
        <v>462</v>
      </c>
      <c r="B14" s="4" t="s">
        <v>463</v>
      </c>
      <c r="C14" s="4" t="s">
        <v>464</v>
      </c>
      <c r="D14" s="4" t="s">
        <v>465</v>
      </c>
      <c r="E14" s="23"/>
      <c r="F14" s="23"/>
    </row>
    <row r="15" customFormat="false" ht="15" hidden="false" customHeight="false" outlineLevel="0" collapsed="false">
      <c r="D15" s="24" t="s">
        <v>466</v>
      </c>
      <c r="E15" s="25" t="n">
        <f aca="false">SUM(E5:E14)</f>
        <v>0</v>
      </c>
    </row>
  </sheetData>
  <dataValidations count="1">
    <dataValidation allowBlank="true" errorStyle="stop" operator="greaterThanOrEqual" showDropDown="false" showErrorMessage="false" showInputMessage="false" sqref="E5:E1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30"/>
    <col collapsed="false" customWidth="true" hidden="false" outlineLevel="0" max="4" min="4" style="0" width="50"/>
    <col collapsed="false" customWidth="true" hidden="false" outlineLevel="0" max="5" min="5" style="0" width="34"/>
    <col collapsed="false" customWidth="true" hidden="false" outlineLevel="0" max="6" min="6" style="0" width="36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467</v>
      </c>
    </row>
    <row r="2" customFormat="false" ht="15" hidden="false" customHeight="false" outlineLevel="0" collapsed="false">
      <c r="A2" s="2" t="s">
        <v>468</v>
      </c>
    </row>
    <row r="4" customFormat="false" ht="15" hidden="false" customHeight="false" outlineLevel="0" collapsed="false">
      <c r="A4" s="5" t="s">
        <v>469</v>
      </c>
      <c r="B4" s="5" t="s">
        <v>470</v>
      </c>
      <c r="C4" s="5" t="s">
        <v>471</v>
      </c>
      <c r="D4" s="5" t="s">
        <v>472</v>
      </c>
      <c r="E4" s="5" t="s">
        <v>473</v>
      </c>
      <c r="F4" s="5" t="s">
        <v>474</v>
      </c>
      <c r="G4" s="5" t="s">
        <v>475</v>
      </c>
    </row>
    <row r="5" customFormat="false" ht="35.05" hidden="false" customHeight="false" outlineLevel="0" collapsed="false">
      <c r="A5" s="26" t="s">
        <v>34</v>
      </c>
      <c r="B5" s="4" t="s">
        <v>476</v>
      </c>
      <c r="C5" s="4" t="s">
        <v>477</v>
      </c>
      <c r="D5" s="4" t="s">
        <v>478</v>
      </c>
      <c r="E5" s="4" t="s">
        <v>479</v>
      </c>
      <c r="F5" s="4" t="s">
        <v>480</v>
      </c>
      <c r="G5" s="4" t="s">
        <v>481</v>
      </c>
    </row>
    <row r="6" customFormat="false" ht="46.25" hidden="false" customHeight="false" outlineLevel="0" collapsed="false">
      <c r="A6" s="26" t="s">
        <v>35</v>
      </c>
      <c r="B6" s="4" t="s">
        <v>482</v>
      </c>
      <c r="C6" s="4" t="s">
        <v>483</v>
      </c>
      <c r="D6" s="4" t="s">
        <v>484</v>
      </c>
      <c r="E6" s="4" t="s">
        <v>485</v>
      </c>
      <c r="F6" s="4" t="s">
        <v>486</v>
      </c>
      <c r="G6" s="4" t="s">
        <v>487</v>
      </c>
    </row>
    <row r="7" customFormat="false" ht="35.05" hidden="false" customHeight="false" outlineLevel="0" collapsed="false">
      <c r="A7" s="26" t="s">
        <v>36</v>
      </c>
      <c r="B7" s="4" t="s">
        <v>488</v>
      </c>
      <c r="C7" s="4" t="s">
        <v>489</v>
      </c>
      <c r="D7" s="4" t="s">
        <v>490</v>
      </c>
      <c r="E7" s="4" t="s">
        <v>491</v>
      </c>
      <c r="F7" s="4" t="s">
        <v>492</v>
      </c>
      <c r="G7" s="4" t="s">
        <v>493</v>
      </c>
    </row>
    <row r="8" customFormat="false" ht="68.65" hidden="false" customHeight="false" outlineLevel="0" collapsed="false">
      <c r="A8" s="26" t="s">
        <v>37</v>
      </c>
      <c r="B8" s="4" t="s">
        <v>494</v>
      </c>
      <c r="C8" s="4" t="s">
        <v>495</v>
      </c>
      <c r="D8" s="4" t="s">
        <v>496</v>
      </c>
      <c r="E8" s="4" t="s">
        <v>497</v>
      </c>
      <c r="F8" s="4" t="s">
        <v>498</v>
      </c>
      <c r="G8" s="4" t="s">
        <v>499</v>
      </c>
    </row>
    <row r="9" customFormat="false" ht="35.05" hidden="false" customHeight="false" outlineLevel="0" collapsed="false">
      <c r="A9" s="26" t="s">
        <v>500</v>
      </c>
      <c r="B9" s="4" t="s">
        <v>501</v>
      </c>
      <c r="C9" s="4" t="s">
        <v>501</v>
      </c>
      <c r="D9" s="4" t="s">
        <v>502</v>
      </c>
      <c r="E9" s="4" t="s">
        <v>503</v>
      </c>
      <c r="F9" s="4" t="s">
        <v>504</v>
      </c>
      <c r="G9" s="4" t="s">
        <v>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2026-10-29T01:53:23Z</dcterms:created>
  <dc:creator>openpyxl</dc:creator>
  <dc:description/>
  <dc:language>en-US</dc:language>
  <cp:lastModifiedBy/>
  <dcterms:modified xsi:type="dcterms:W3CDTF">2026-10-28T20:53:24Z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